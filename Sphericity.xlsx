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Angka Penting\"/>
    </mc:Choice>
  </mc:AlternateContent>
  <xr:revisionPtr revIDLastSave="0" documentId="8_{F432085E-0F79-45EE-94F6-2CF930BF6741}" xr6:coauthVersionLast="47" xr6:coauthVersionMax="47" xr10:uidLastSave="{00000000-0000-0000-0000-000000000000}"/>
  <bookViews>
    <workbookView xWindow="-110" yWindow="-110" windowWidth="19420" windowHeight="10300" xr2:uid="{6655D975-E403-40EF-A461-C6100E316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4" i="1" l="1"/>
  <c r="P74" i="1"/>
  <c r="Y63" i="1"/>
  <c r="Y64" i="1"/>
  <c r="Y65" i="1"/>
  <c r="Y66" i="1"/>
  <c r="Y67" i="1"/>
  <c r="Y68" i="1"/>
  <c r="Y69" i="1"/>
  <c r="Y70" i="1"/>
  <c r="Y71" i="1"/>
  <c r="Y62" i="1"/>
  <c r="P57" i="1"/>
  <c r="Y46" i="1"/>
  <c r="Y47" i="1"/>
  <c r="Y48" i="1"/>
  <c r="Y49" i="1"/>
  <c r="Y50" i="1"/>
  <c r="Y51" i="1"/>
  <c r="Y52" i="1"/>
  <c r="Y53" i="1"/>
  <c r="Y54" i="1"/>
  <c r="Y45" i="1"/>
  <c r="P23" i="1"/>
  <c r="P40" i="1"/>
  <c r="Y29" i="1"/>
  <c r="Y30" i="1"/>
  <c r="Y31" i="1"/>
  <c r="Y32" i="1"/>
  <c r="Y33" i="1"/>
  <c r="Y34" i="1"/>
  <c r="Y35" i="1"/>
  <c r="Y36" i="1"/>
  <c r="Y37" i="1"/>
  <c r="Y28" i="1"/>
  <c r="R72" i="1"/>
  <c r="P72" i="1"/>
  <c r="E72" i="1"/>
  <c r="C72" i="1"/>
  <c r="V71" i="1"/>
  <c r="T71" i="1"/>
  <c r="I71" i="1"/>
  <c r="K71" i="1" s="1"/>
  <c r="M71" i="1" s="1"/>
  <c r="V70" i="1"/>
  <c r="T70" i="1"/>
  <c r="I70" i="1"/>
  <c r="G70" i="1"/>
  <c r="V69" i="1"/>
  <c r="T69" i="1"/>
  <c r="I69" i="1"/>
  <c r="G69" i="1"/>
  <c r="V68" i="1"/>
  <c r="T68" i="1"/>
  <c r="I68" i="1"/>
  <c r="G68" i="1"/>
  <c r="V67" i="1"/>
  <c r="T67" i="1"/>
  <c r="I67" i="1"/>
  <c r="G67" i="1"/>
  <c r="V66" i="1"/>
  <c r="T66" i="1"/>
  <c r="I66" i="1"/>
  <c r="G66" i="1"/>
  <c r="V65" i="1"/>
  <c r="T65" i="1"/>
  <c r="I65" i="1"/>
  <c r="G65" i="1"/>
  <c r="V64" i="1"/>
  <c r="T64" i="1"/>
  <c r="I64" i="1"/>
  <c r="G64" i="1"/>
  <c r="V63" i="1"/>
  <c r="T63" i="1"/>
  <c r="I63" i="1"/>
  <c r="G63" i="1"/>
  <c r="V62" i="1"/>
  <c r="T62" i="1"/>
  <c r="I62" i="1"/>
  <c r="G62" i="1"/>
  <c r="R55" i="1"/>
  <c r="P55" i="1"/>
  <c r="E55" i="1"/>
  <c r="C55" i="1"/>
  <c r="V54" i="1"/>
  <c r="T54" i="1"/>
  <c r="I54" i="1"/>
  <c r="G54" i="1"/>
  <c r="V53" i="1"/>
  <c r="T53" i="1"/>
  <c r="I53" i="1"/>
  <c r="G53" i="1"/>
  <c r="V52" i="1"/>
  <c r="T52" i="1"/>
  <c r="I52" i="1"/>
  <c r="G52" i="1"/>
  <c r="V51" i="1"/>
  <c r="T51" i="1"/>
  <c r="I51" i="1"/>
  <c r="G51" i="1"/>
  <c r="V50" i="1"/>
  <c r="T50" i="1"/>
  <c r="I50" i="1"/>
  <c r="G50" i="1"/>
  <c r="V49" i="1"/>
  <c r="T49" i="1"/>
  <c r="I49" i="1"/>
  <c r="G49" i="1"/>
  <c r="V48" i="1"/>
  <c r="T48" i="1"/>
  <c r="I48" i="1"/>
  <c r="G48" i="1"/>
  <c r="V47" i="1"/>
  <c r="T47" i="1"/>
  <c r="I47" i="1"/>
  <c r="G47" i="1"/>
  <c r="V46" i="1"/>
  <c r="T46" i="1"/>
  <c r="I46" i="1"/>
  <c r="G46" i="1"/>
  <c r="V45" i="1"/>
  <c r="T45" i="1"/>
  <c r="I45" i="1"/>
  <c r="G45" i="1"/>
  <c r="R38" i="1"/>
  <c r="P38" i="1"/>
  <c r="E38" i="1"/>
  <c r="C38" i="1"/>
  <c r="V37" i="1"/>
  <c r="T37" i="1"/>
  <c r="I37" i="1"/>
  <c r="V36" i="1"/>
  <c r="T36" i="1"/>
  <c r="I36" i="1"/>
  <c r="V35" i="1"/>
  <c r="T35" i="1"/>
  <c r="I35" i="1"/>
  <c r="V34" i="1"/>
  <c r="T34" i="1"/>
  <c r="I34" i="1"/>
  <c r="V33" i="1"/>
  <c r="T33" i="1"/>
  <c r="I33" i="1"/>
  <c r="V32" i="1"/>
  <c r="T32" i="1"/>
  <c r="I32" i="1"/>
  <c r="V31" i="1"/>
  <c r="T31" i="1"/>
  <c r="I31" i="1"/>
  <c r="V30" i="1"/>
  <c r="T30" i="1"/>
  <c r="I30" i="1"/>
  <c r="V29" i="1"/>
  <c r="T29" i="1"/>
  <c r="I29" i="1"/>
  <c r="V28" i="1"/>
  <c r="T28" i="1"/>
  <c r="I28" i="1"/>
  <c r="R21" i="1"/>
  <c r="P21" i="1"/>
  <c r="E21" i="1"/>
  <c r="C21" i="1"/>
  <c r="V20" i="1"/>
  <c r="T20" i="1"/>
  <c r="V19" i="1"/>
  <c r="T19" i="1"/>
  <c r="V18" i="1"/>
  <c r="T18" i="1"/>
  <c r="V17" i="1"/>
  <c r="T17" i="1"/>
  <c r="V16" i="1"/>
  <c r="T16" i="1"/>
  <c r="V15" i="1"/>
  <c r="T15" i="1"/>
  <c r="V14" i="1"/>
  <c r="T14" i="1"/>
  <c r="V13" i="1"/>
  <c r="T13" i="1"/>
  <c r="V12" i="1"/>
  <c r="T12" i="1"/>
  <c r="V11" i="1"/>
  <c r="T11" i="1"/>
  <c r="L71" i="1" l="1"/>
  <c r="C40" i="1"/>
  <c r="K12" i="1"/>
  <c r="L12" i="1" s="1"/>
  <c r="X11" i="1"/>
  <c r="K16" i="1"/>
  <c r="L16" i="1" s="1"/>
  <c r="X14" i="1"/>
  <c r="X16" i="1"/>
  <c r="X18" i="1"/>
  <c r="X36" i="1"/>
  <c r="P39" i="1"/>
  <c r="X46" i="1"/>
  <c r="Z46" i="1" s="1"/>
  <c r="X50" i="1"/>
  <c r="Z50" i="1" s="1"/>
  <c r="X54" i="1"/>
  <c r="Z54" i="1" s="1"/>
  <c r="X66" i="1"/>
  <c r="Z66" i="1" s="1"/>
  <c r="K13" i="1"/>
  <c r="L13" i="1" s="1"/>
  <c r="G21" i="1"/>
  <c r="K45" i="1"/>
  <c r="L45" i="1" s="1"/>
  <c r="K49" i="1"/>
  <c r="K53" i="1"/>
  <c r="K65" i="1"/>
  <c r="K69" i="1"/>
  <c r="X15" i="1"/>
  <c r="X17" i="1"/>
  <c r="K28" i="1"/>
  <c r="K36" i="1"/>
  <c r="K46" i="1"/>
  <c r="K50" i="1"/>
  <c r="K54" i="1"/>
  <c r="K66" i="1"/>
  <c r="K70" i="1"/>
  <c r="I21" i="1"/>
  <c r="K31" i="1"/>
  <c r="K33" i="1"/>
  <c r="K35" i="1"/>
  <c r="I55" i="1"/>
  <c r="K17" i="1"/>
  <c r="L17" i="1" s="1"/>
  <c r="P22" i="1"/>
  <c r="X33" i="1"/>
  <c r="P56" i="1"/>
  <c r="K15" i="1"/>
  <c r="L15" i="1" s="1"/>
  <c r="K20" i="1"/>
  <c r="L20" i="1" s="1"/>
  <c r="C73" i="1"/>
  <c r="P73" i="1"/>
  <c r="X32" i="1"/>
  <c r="X29" i="1"/>
  <c r="X31" i="1"/>
  <c r="K47" i="1"/>
  <c r="K51" i="1"/>
  <c r="C56" i="1"/>
  <c r="K63" i="1"/>
  <c r="K67" i="1"/>
  <c r="K30" i="1"/>
  <c r="K34" i="1"/>
  <c r="X37" i="1"/>
  <c r="V55" i="1"/>
  <c r="X49" i="1"/>
  <c r="Z49" i="1" s="1"/>
  <c r="X53" i="1"/>
  <c r="Z53" i="1" s="1"/>
  <c r="X65" i="1"/>
  <c r="Z65" i="1" s="1"/>
  <c r="X69" i="1"/>
  <c r="Z69" i="1" s="1"/>
  <c r="X71" i="1"/>
  <c r="Z71" i="1" s="1"/>
  <c r="G72" i="1"/>
  <c r="V38" i="1"/>
  <c r="C39" i="1"/>
  <c r="K48" i="1"/>
  <c r="K52" i="1"/>
  <c r="K64" i="1"/>
  <c r="K68" i="1"/>
  <c r="X19" i="1"/>
  <c r="G38" i="1"/>
  <c r="X34" i="1"/>
  <c r="K14" i="1"/>
  <c r="L14" i="1" s="1"/>
  <c r="X70" i="1"/>
  <c r="Z70" i="1" s="1"/>
  <c r="M45" i="1"/>
  <c r="V72" i="1"/>
  <c r="I72" i="1"/>
  <c r="X13" i="1"/>
  <c r="X28" i="1"/>
  <c r="K32" i="1"/>
  <c r="T55" i="1"/>
  <c r="K37" i="1"/>
  <c r="G55" i="1"/>
  <c r="X30" i="1"/>
  <c r="K11" i="1"/>
  <c r="L11" i="1" s="1"/>
  <c r="X12" i="1"/>
  <c r="K19" i="1"/>
  <c r="L19" i="1" s="1"/>
  <c r="X20" i="1"/>
  <c r="C22" i="1"/>
  <c r="X35" i="1"/>
  <c r="X48" i="1"/>
  <c r="Z48" i="1" s="1"/>
  <c r="X52" i="1"/>
  <c r="Z52" i="1" s="1"/>
  <c r="X64" i="1"/>
  <c r="Z64" i="1" s="1"/>
  <c r="X68" i="1"/>
  <c r="Z68" i="1" s="1"/>
  <c r="I38" i="1"/>
  <c r="T21" i="1"/>
  <c r="K62" i="1"/>
  <c r="L62" i="1" s="1"/>
  <c r="V21" i="1"/>
  <c r="K18" i="1"/>
  <c r="L18" i="1" s="1"/>
  <c r="X47" i="1"/>
  <c r="Z47" i="1" s="1"/>
  <c r="X51" i="1"/>
  <c r="Z51" i="1" s="1"/>
  <c r="X63" i="1"/>
  <c r="Z63" i="1" s="1"/>
  <c r="X67" i="1"/>
  <c r="Z67" i="1" s="1"/>
  <c r="T38" i="1"/>
  <c r="T72" i="1"/>
  <c r="K29" i="1"/>
  <c r="X45" i="1"/>
  <c r="X62" i="1"/>
  <c r="M52" i="1" l="1"/>
  <c r="L52" i="1"/>
  <c r="M48" i="1"/>
  <c r="L48" i="1"/>
  <c r="M51" i="1"/>
  <c r="L51" i="1"/>
  <c r="M70" i="1"/>
  <c r="L70" i="1"/>
  <c r="M66" i="1"/>
  <c r="L66" i="1"/>
  <c r="M69" i="1"/>
  <c r="L69" i="1"/>
  <c r="C23" i="1"/>
  <c r="M47" i="1"/>
  <c r="L47" i="1"/>
  <c r="M54" i="1"/>
  <c r="L54" i="1"/>
  <c r="M65" i="1"/>
  <c r="L65" i="1"/>
  <c r="M68" i="1"/>
  <c r="L68" i="1"/>
  <c r="M67" i="1"/>
  <c r="L67" i="1"/>
  <c r="M50" i="1"/>
  <c r="L50" i="1"/>
  <c r="M53" i="1"/>
  <c r="L53" i="1"/>
  <c r="M64" i="1"/>
  <c r="L64" i="1"/>
  <c r="M63" i="1"/>
  <c r="L63" i="1"/>
  <c r="M46" i="1"/>
  <c r="L46" i="1"/>
  <c r="M49" i="1"/>
  <c r="L49" i="1"/>
  <c r="K21" i="1"/>
  <c r="K38" i="1"/>
  <c r="K55" i="1"/>
  <c r="M55" i="1" s="1"/>
  <c r="X21" i="1"/>
  <c r="X38" i="1"/>
  <c r="M62" i="1"/>
  <c r="K72" i="1"/>
  <c r="M72" i="1" s="1"/>
  <c r="X72" i="1"/>
  <c r="Z72" i="1" s="1"/>
  <c r="Z62" i="1"/>
  <c r="X55" i="1"/>
  <c r="Z55" i="1" s="1"/>
  <c r="Z45" i="1"/>
  <c r="C57" i="1" l="1"/>
</calcChain>
</file>

<file path=xl/sharedStrings.xml><?xml version="1.0" encoding="utf-8"?>
<sst xmlns="http://schemas.openxmlformats.org/spreadsheetml/2006/main" count="244" uniqueCount="32">
  <si>
    <t xml:space="preserve">P0,5% ; CaCl2 </t>
  </si>
  <si>
    <t>P0,5% ; Kitosan + Asam Asetat</t>
  </si>
  <si>
    <t>Dmax (µm)</t>
  </si>
  <si>
    <t>Dmin (µm)</t>
  </si>
  <si>
    <t>Dmax + Dmin (µm)</t>
  </si>
  <si>
    <t>Dmax - Dmin (µm)</t>
  </si>
  <si>
    <t>SF</t>
  </si>
  <si>
    <t>Ket</t>
  </si>
  <si>
    <t>Sampel 1</t>
  </si>
  <si>
    <t>Sperik</t>
  </si>
  <si>
    <t>Sampel 2</t>
  </si>
  <si>
    <t>Nonsperik</t>
  </si>
  <si>
    <t>Sampel 3</t>
  </si>
  <si>
    <t>Sampel 4</t>
  </si>
  <si>
    <t>Sampel 5</t>
  </si>
  <si>
    <t>Sampel 6</t>
  </si>
  <si>
    <t>Sampel 7</t>
  </si>
  <si>
    <t>Sampel 8</t>
  </si>
  <si>
    <t>Sampel 9</t>
  </si>
  <si>
    <t>Sampel 10</t>
  </si>
  <si>
    <t>Rata-rata</t>
  </si>
  <si>
    <t>Average</t>
  </si>
  <si>
    <t xml:space="preserve">STDEV </t>
  </si>
  <si>
    <t xml:space="preserve">P1% ; CaCl2 </t>
  </si>
  <si>
    <t>P1% ; Kitosan + Asam Asetat</t>
  </si>
  <si>
    <t xml:space="preserve">P1,5% ; CaCl2 </t>
  </si>
  <si>
    <t>P1,5% ; Kitosan + Asam Asetat</t>
  </si>
  <si>
    <t xml:space="preserve">Nonporogen ; CaCl2 </t>
  </si>
  <si>
    <t>Nonporogen ; Kitosan + Asam Asetat</t>
  </si>
  <si>
    <t>AP</t>
  </si>
  <si>
    <t>Jumlah desimal</t>
  </si>
  <si>
    <t>SF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</si>
</sst>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0.0000"/>
    <numFmt numFmtId="169" formatCode="0.000"/>
    <numFmt numFmtId="170" formatCode="0.0"/>
    <numFmt numFmtId="172" formatCode="0.0000000"/>
    <numFmt numFmtId="173" formatCode="0.000000"/>
    <numFmt numFmtId="174" formatCode="0.00000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FFFFFF"/>
      <name val="Arial"/>
      <family val="2"/>
    </font>
    <font>
      <b/>
      <u/>
      <sz val="12"/>
      <color rgb="FF0000FF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6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/>
    <xf numFmtId="0" fontId="6" fillId="3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5" fillId="0" borderId="4" xfId="0" applyFont="1" applyBorder="1"/>
    <xf numFmtId="0" fontId="5" fillId="0" borderId="1" xfId="0" applyFont="1" applyBorder="1"/>
    <xf numFmtId="0" fontId="5" fillId="3" borderId="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0" xfId="0" applyFont="1"/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5" fillId="3" borderId="4" xfId="0" applyFont="1" applyFill="1" applyBorder="1"/>
    <xf numFmtId="0" fontId="5" fillId="3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4" fillId="0" borderId="0" xfId="0" applyFont="1" applyBorder="1"/>
    <xf numFmtId="0" fontId="5" fillId="0" borderId="5" xfId="0" applyFont="1" applyBorder="1"/>
    <xf numFmtId="169" fontId="6" fillId="0" borderId="4" xfId="0" applyNumberFormat="1" applyFont="1" applyBorder="1"/>
    <xf numFmtId="2" fontId="6" fillId="0" borderId="4" xfId="0" applyNumberFormat="1" applyFont="1" applyBorder="1"/>
    <xf numFmtId="170" fontId="6" fillId="0" borderId="4" xfId="0" applyNumberFormat="1" applyFont="1" applyBorder="1"/>
    <xf numFmtId="1" fontId="6" fillId="0" borderId="4" xfId="0" applyNumberFormat="1" applyFont="1" applyBorder="1"/>
    <xf numFmtId="173" fontId="5" fillId="0" borderId="1" xfId="0" applyNumberFormat="1" applyFont="1" applyBorder="1" applyAlignment="1">
      <alignment horizontal="center"/>
    </xf>
    <xf numFmtId="173" fontId="5" fillId="0" borderId="2" xfId="0" applyNumberFormat="1" applyFont="1" applyBorder="1" applyAlignment="1">
      <alignment horizontal="center"/>
    </xf>
    <xf numFmtId="173" fontId="4" fillId="0" borderId="3" xfId="0" applyNumberFormat="1" applyFont="1" applyBorder="1"/>
    <xf numFmtId="174" fontId="5" fillId="0" borderId="1" xfId="0" applyNumberFormat="1" applyFont="1" applyBorder="1" applyAlignment="1">
      <alignment horizontal="center"/>
    </xf>
    <xf numFmtId="174" fontId="5" fillId="0" borderId="2" xfId="0" applyNumberFormat="1" applyFont="1" applyBorder="1" applyAlignment="1">
      <alignment horizontal="center"/>
    </xf>
    <xf numFmtId="174" fontId="4" fillId="0" borderId="3" xfId="0" applyNumberFormat="1" applyFont="1" applyBorder="1"/>
    <xf numFmtId="168" fontId="5" fillId="0" borderId="1" xfId="0" applyNumberFormat="1" applyFont="1" applyBorder="1" applyAlignment="1">
      <alignment horizontal="center"/>
    </xf>
    <xf numFmtId="168" fontId="5" fillId="0" borderId="2" xfId="0" applyNumberFormat="1" applyFont="1" applyBorder="1" applyAlignment="1">
      <alignment horizontal="center"/>
    </xf>
    <xf numFmtId="168" fontId="4" fillId="0" borderId="3" xfId="0" applyNumberFormat="1" applyFont="1" applyBorder="1"/>
    <xf numFmtId="169" fontId="5" fillId="0" borderId="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169" fontId="4" fillId="0" borderId="3" xfId="0" applyNumberFormat="1" applyFont="1" applyBorder="1"/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4" fillId="0" borderId="3" xfId="0" applyNumberFormat="1" applyFont="1" applyBorder="1"/>
    <xf numFmtId="172" fontId="6" fillId="0" borderId="4" xfId="0" applyNumberFormat="1" applyFont="1" applyBorder="1" applyAlignment="1">
      <alignment horizontal="center"/>
    </xf>
    <xf numFmtId="173" fontId="6" fillId="0" borderId="4" xfId="0" applyNumberFormat="1" applyFont="1" applyBorder="1" applyAlignment="1">
      <alignment horizontal="center"/>
    </xf>
    <xf numFmtId="174" fontId="6" fillId="0" borderId="4" xfId="0" applyNumberFormat="1" applyFont="1" applyBorder="1" applyAlignment="1">
      <alignment horizontal="center"/>
    </xf>
    <xf numFmtId="168" fontId="6" fillId="0" borderId="4" xfId="0" applyNumberFormat="1" applyFont="1" applyBorder="1" applyAlignment="1">
      <alignment horizontal="center"/>
    </xf>
    <xf numFmtId="169" fontId="6" fillId="0" borderId="4" xfId="0" applyNumberFormat="1" applyFont="1" applyBorder="1" applyAlignment="1">
      <alignment horizontal="center"/>
    </xf>
  </cellXfs>
  <cellStyles count="2">
    <cellStyle name="Normal" xfId="0" builtinId="0"/>
    <cellStyle name="Normal 2" xfId="1" xr:uid="{D4EA7F77-F7F8-44F2-9A62-8C0446BA93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536575</xdr:colOff>
      <xdr:row>1</xdr:row>
      <xdr:rowOff>98425</xdr:rowOff>
    </xdr:from>
    <xdr:ext cx="1790700" cy="619125"/>
    <xdr:pic>
      <xdr:nvPicPr>
        <xdr:cNvPr id="2" name="image69.jpg">
          <a:extLst>
            <a:ext uri="{FF2B5EF4-FFF2-40B4-BE49-F238E27FC236}">
              <a16:creationId xmlns:a16="http://schemas.microsoft.com/office/drawing/2014/main" id="{F638C688-58E3-4068-B7D7-F2665C002F8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2775" y="155575"/>
          <a:ext cx="1790700" cy="619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F2F6-4416-47A5-AE06-C409634899A0}">
  <dimension ref="A1:Z1000"/>
  <sheetViews>
    <sheetView tabSelected="1" workbookViewId="0">
      <selection activeCell="C74" sqref="C74:E74"/>
    </sheetView>
  </sheetViews>
  <sheetFormatPr defaultColWidth="12.6328125" defaultRowHeight="15" customHeight="1" x14ac:dyDescent="0.35"/>
  <cols>
    <col min="1" max="1" width="1.08984375" customWidth="1"/>
    <col min="2" max="2" width="9.90625" customWidth="1"/>
    <col min="3" max="4" width="11.36328125" customWidth="1"/>
    <col min="5" max="6" width="11.7265625" customWidth="1"/>
    <col min="7" max="8" width="16.6328125" customWidth="1"/>
    <col min="9" max="10" width="15.36328125" customWidth="1"/>
    <col min="11" max="12" width="13.36328125" customWidth="1"/>
    <col min="13" max="13" width="10.6328125" customWidth="1"/>
    <col min="15" max="15" width="9" customWidth="1"/>
    <col min="16" max="17" width="11.26953125" customWidth="1"/>
    <col min="18" max="19" width="10.7265625" customWidth="1"/>
    <col min="20" max="21" width="16.36328125" customWidth="1"/>
    <col min="22" max="23" width="15.7265625" customWidth="1"/>
    <col min="24" max="25" width="13.36328125" customWidth="1"/>
  </cols>
  <sheetData>
    <row r="1" spans="1:26" ht="4.5" customHeight="1" x14ac:dyDescent="0.35">
      <c r="K1" s="1"/>
      <c r="L1" s="1"/>
    </row>
    <row r="2" spans="1:26" ht="15.75" customHeigh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5">
      <c r="A3" s="2"/>
      <c r="B3" s="3"/>
      <c r="C3" s="3"/>
      <c r="D3" s="3"/>
      <c r="E3" s="3"/>
      <c r="F3" s="3"/>
      <c r="G3" s="3"/>
      <c r="H3" s="3"/>
      <c r="I3" s="3"/>
      <c r="J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5">
      <c r="A4" s="2"/>
      <c r="B4" s="3"/>
      <c r="C4" s="3"/>
      <c r="D4" s="3"/>
      <c r="E4" s="3"/>
      <c r="F4" s="3"/>
      <c r="G4" s="3"/>
      <c r="H4" s="3"/>
      <c r="I4" s="3"/>
      <c r="J4" s="3"/>
      <c r="M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5">
      <c r="A9" s="2"/>
      <c r="B9" s="6" t="s"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8"/>
      <c r="O9" s="6" t="s">
        <v>1</v>
      </c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 ht="15.75" customHeight="1" x14ac:dyDescent="0.35">
      <c r="A10" s="2"/>
      <c r="B10" s="9"/>
      <c r="C10" s="10" t="s">
        <v>2</v>
      </c>
      <c r="D10" s="10" t="s">
        <v>30</v>
      </c>
      <c r="E10" s="10" t="s">
        <v>3</v>
      </c>
      <c r="F10" s="10" t="s">
        <v>30</v>
      </c>
      <c r="G10" s="10" t="s">
        <v>4</v>
      </c>
      <c r="H10" s="10" t="s">
        <v>29</v>
      </c>
      <c r="I10" s="10" t="s">
        <v>5</v>
      </c>
      <c r="J10" s="10" t="s">
        <v>29</v>
      </c>
      <c r="K10" s="10" t="s">
        <v>6</v>
      </c>
      <c r="L10" s="10" t="s">
        <v>31</v>
      </c>
      <c r="M10" s="10" t="s">
        <v>7</v>
      </c>
      <c r="O10" s="9"/>
      <c r="P10" s="10" t="s">
        <v>2</v>
      </c>
      <c r="Q10" s="10" t="s">
        <v>30</v>
      </c>
      <c r="R10" s="10" t="s">
        <v>3</v>
      </c>
      <c r="S10" s="10" t="s">
        <v>30</v>
      </c>
      <c r="T10" s="10" t="s">
        <v>4</v>
      </c>
      <c r="U10" s="10" t="s">
        <v>29</v>
      </c>
      <c r="V10" s="10" t="s">
        <v>5</v>
      </c>
      <c r="W10" s="10" t="s">
        <v>29</v>
      </c>
      <c r="X10" s="10" t="s">
        <v>6</v>
      </c>
      <c r="Y10" s="10" t="s">
        <v>31</v>
      </c>
      <c r="Z10" s="10" t="s">
        <v>7</v>
      </c>
    </row>
    <row r="11" spans="1:26" ht="15.75" customHeight="1" x14ac:dyDescent="0.35">
      <c r="A11" s="2"/>
      <c r="B11" s="11" t="s">
        <v>8</v>
      </c>
      <c r="C11" s="11">
        <v>1360.057</v>
      </c>
      <c r="D11" s="11">
        <v>3</v>
      </c>
      <c r="E11" s="11">
        <v>1269.0630000000001</v>
      </c>
      <c r="F11" s="11">
        <v>3</v>
      </c>
      <c r="G11" s="35">
        <v>2629.12</v>
      </c>
      <c r="H11" s="38">
        <v>7</v>
      </c>
      <c r="I11" s="11">
        <v>90.993999999999915</v>
      </c>
      <c r="J11" s="11">
        <v>5</v>
      </c>
      <c r="K11" s="9">
        <f>I11/G11</f>
        <v>3.4610059639727332E-2</v>
      </c>
      <c r="L11" s="55">
        <f>K11</f>
        <v>3.4610059639727332E-2</v>
      </c>
      <c r="M11" s="12" t="s">
        <v>9</v>
      </c>
      <c r="O11" s="11" t="s">
        <v>8</v>
      </c>
      <c r="P11" s="11">
        <v>1389.5</v>
      </c>
      <c r="Q11" s="11">
        <v>1</v>
      </c>
      <c r="R11" s="11">
        <v>1282.73</v>
      </c>
      <c r="S11" s="11">
        <v>2</v>
      </c>
      <c r="T11" s="37">
        <f t="shared" ref="T11:T20" si="0">P11+R11</f>
        <v>2672.23</v>
      </c>
      <c r="U11" s="11">
        <v>5</v>
      </c>
      <c r="V11" s="11">
        <f t="shared" ref="V11:V20" si="1">P11-R11</f>
        <v>106.76999999999998</v>
      </c>
      <c r="W11" s="11">
        <v>5</v>
      </c>
      <c r="X11" s="9">
        <f t="shared" ref="X11:X20" si="2">V11/T11</f>
        <v>3.9955393061226009E-2</v>
      </c>
      <c r="Y11" s="55">
        <v>3.9955393061226009E-2</v>
      </c>
      <c r="Z11" s="12" t="s">
        <v>9</v>
      </c>
    </row>
    <row r="12" spans="1:26" ht="15.75" customHeight="1" x14ac:dyDescent="0.35">
      <c r="A12" s="2"/>
      <c r="B12" s="11" t="s">
        <v>10</v>
      </c>
      <c r="C12" s="11">
        <v>1425.989</v>
      </c>
      <c r="D12" s="11">
        <v>3</v>
      </c>
      <c r="E12" s="11">
        <v>1409.097</v>
      </c>
      <c r="F12" s="11">
        <v>3</v>
      </c>
      <c r="G12" s="11">
        <v>2835.0860000000002</v>
      </c>
      <c r="H12" s="11">
        <v>7</v>
      </c>
      <c r="I12" s="11">
        <v>16.892000000000053</v>
      </c>
      <c r="J12" s="11">
        <v>5</v>
      </c>
      <c r="K12" s="9">
        <f>I12/G12</f>
        <v>5.9581966825697887E-3</v>
      </c>
      <c r="L12" s="54">
        <f t="shared" ref="L12:L20" si="3">K12</f>
        <v>5.9581966825697887E-3</v>
      </c>
      <c r="M12" s="12" t="s">
        <v>9</v>
      </c>
      <c r="O12" s="11" t="s">
        <v>10</v>
      </c>
      <c r="P12" s="11">
        <v>1544.529</v>
      </c>
      <c r="Q12" s="11">
        <v>3</v>
      </c>
      <c r="R12" s="11">
        <v>1320.6089999999999</v>
      </c>
      <c r="S12" s="11">
        <v>3</v>
      </c>
      <c r="T12" s="11">
        <f t="shared" si="0"/>
        <v>2865.1379999999999</v>
      </c>
      <c r="U12" s="11">
        <v>7</v>
      </c>
      <c r="V12" s="11">
        <f t="shared" si="1"/>
        <v>223.92000000000007</v>
      </c>
      <c r="W12" s="11">
        <v>5</v>
      </c>
      <c r="X12" s="9">
        <f t="shared" si="2"/>
        <v>7.815330361050675E-2</v>
      </c>
      <c r="Y12" s="55">
        <v>7.815330361050675E-2</v>
      </c>
      <c r="Z12" s="13" t="s">
        <v>11</v>
      </c>
    </row>
    <row r="13" spans="1:26" ht="15.75" customHeight="1" x14ac:dyDescent="0.35">
      <c r="A13" s="2"/>
      <c r="B13" s="11" t="s">
        <v>12</v>
      </c>
      <c r="C13" s="11">
        <v>1400.2529999999999</v>
      </c>
      <c r="D13" s="11">
        <v>3</v>
      </c>
      <c r="E13" s="11">
        <v>1314.5909999999999</v>
      </c>
      <c r="F13" s="11">
        <v>3</v>
      </c>
      <c r="G13" s="11">
        <v>2714.8440000000001</v>
      </c>
      <c r="H13" s="11">
        <v>7</v>
      </c>
      <c r="I13" s="11">
        <v>85.662000000000035</v>
      </c>
      <c r="J13" s="11">
        <v>5</v>
      </c>
      <c r="K13" s="9">
        <f>I13/G13</f>
        <v>3.1553194216684288E-2</v>
      </c>
      <c r="L13" s="55">
        <f t="shared" si="3"/>
        <v>3.1553194216684288E-2</v>
      </c>
      <c r="M13" s="12" t="s">
        <v>9</v>
      </c>
      <c r="O13" s="11" t="s">
        <v>12</v>
      </c>
      <c r="P13" s="11">
        <v>1620.07</v>
      </c>
      <c r="Q13" s="11">
        <v>2</v>
      </c>
      <c r="R13" s="11">
        <v>1056.537</v>
      </c>
      <c r="S13" s="11">
        <v>3</v>
      </c>
      <c r="T13" s="36">
        <f t="shared" si="0"/>
        <v>2676.607</v>
      </c>
      <c r="U13" s="11">
        <v>6</v>
      </c>
      <c r="V13" s="11">
        <f t="shared" si="1"/>
        <v>563.5329999999999</v>
      </c>
      <c r="W13" s="11">
        <v>6</v>
      </c>
      <c r="X13" s="9">
        <f t="shared" si="2"/>
        <v>0.21054006060658137</v>
      </c>
      <c r="Y13" s="54">
        <v>0.21054006060658137</v>
      </c>
      <c r="Z13" s="13" t="s">
        <v>11</v>
      </c>
    </row>
    <row r="14" spans="1:26" ht="15.75" customHeight="1" x14ac:dyDescent="0.35">
      <c r="A14" s="2"/>
      <c r="B14" s="11" t="s">
        <v>13</v>
      </c>
      <c r="C14" s="11">
        <v>1524.95</v>
      </c>
      <c r="D14" s="11">
        <v>2</v>
      </c>
      <c r="E14" s="11">
        <v>1409.097</v>
      </c>
      <c r="F14" s="11">
        <v>3</v>
      </c>
      <c r="G14" s="36">
        <v>2934.047</v>
      </c>
      <c r="H14" s="38">
        <v>6</v>
      </c>
      <c r="I14" s="36">
        <v>115.85300000000007</v>
      </c>
      <c r="J14" s="11">
        <v>5</v>
      </c>
      <c r="K14" s="9">
        <f>I14/G14</f>
        <v>3.9485734209438385E-2</v>
      </c>
      <c r="L14" s="55">
        <f t="shared" si="3"/>
        <v>3.9485734209438385E-2</v>
      </c>
      <c r="M14" s="12" t="s">
        <v>9</v>
      </c>
      <c r="O14" s="11" t="s">
        <v>13</v>
      </c>
      <c r="P14" s="11">
        <v>1440.673</v>
      </c>
      <c r="Q14" s="11">
        <v>3</v>
      </c>
      <c r="R14" s="11">
        <v>1318.837</v>
      </c>
      <c r="S14" s="11">
        <v>3</v>
      </c>
      <c r="T14" s="11">
        <f t="shared" si="0"/>
        <v>2759.51</v>
      </c>
      <c r="U14" s="11">
        <v>6</v>
      </c>
      <c r="V14" s="11">
        <f t="shared" si="1"/>
        <v>121.83600000000001</v>
      </c>
      <c r="W14" s="11">
        <v>6</v>
      </c>
      <c r="X14" s="9">
        <f t="shared" si="2"/>
        <v>4.4151316719272624E-2</v>
      </c>
      <c r="Y14" s="54">
        <v>4.4151316719272624E-2</v>
      </c>
      <c r="Z14" s="12" t="s">
        <v>9</v>
      </c>
    </row>
    <row r="15" spans="1:26" ht="15.75" customHeight="1" x14ac:dyDescent="0.35">
      <c r="A15" s="2"/>
      <c r="B15" s="11" t="s">
        <v>14</v>
      </c>
      <c r="C15" s="11">
        <v>1404.4760000000001</v>
      </c>
      <c r="D15" s="11">
        <v>3</v>
      </c>
      <c r="E15" s="11">
        <v>1292.8900000000001</v>
      </c>
      <c r="F15" s="11">
        <v>2</v>
      </c>
      <c r="G15" s="36">
        <v>2697.366</v>
      </c>
      <c r="H15" s="38">
        <v>6</v>
      </c>
      <c r="I15" s="36">
        <v>111.58600000000001</v>
      </c>
      <c r="J15" s="11">
        <v>5</v>
      </c>
      <c r="K15" s="9">
        <f>I15/G15</f>
        <v>4.136850542343902E-2</v>
      </c>
      <c r="L15" s="55">
        <f t="shared" si="3"/>
        <v>4.136850542343902E-2</v>
      </c>
      <c r="M15" s="12" t="s">
        <v>9</v>
      </c>
      <c r="O15" s="11" t="s">
        <v>14</v>
      </c>
      <c r="P15" s="11">
        <v>1529.9829999999999</v>
      </c>
      <c r="Q15" s="11">
        <v>3</v>
      </c>
      <c r="R15" s="11">
        <v>1385.5930000000001</v>
      </c>
      <c r="S15" s="11">
        <v>3</v>
      </c>
      <c r="T15" s="11">
        <f t="shared" si="0"/>
        <v>2915.576</v>
      </c>
      <c r="U15" s="11">
        <v>7</v>
      </c>
      <c r="V15" s="11">
        <f t="shared" si="1"/>
        <v>144.38999999999987</v>
      </c>
      <c r="W15" s="11">
        <v>5</v>
      </c>
      <c r="X15" s="9">
        <f t="shared" si="2"/>
        <v>4.9523661876761188E-2</v>
      </c>
      <c r="Y15" s="55">
        <v>4.9523661876761188E-2</v>
      </c>
      <c r="Z15" s="12" t="s">
        <v>9</v>
      </c>
    </row>
    <row r="16" spans="1:26" ht="15.75" customHeight="1" x14ac:dyDescent="0.35">
      <c r="A16" s="2"/>
      <c r="B16" s="11" t="s">
        <v>15</v>
      </c>
      <c r="C16" s="11">
        <v>1405.5920000000001</v>
      </c>
      <c r="D16" s="11">
        <v>3</v>
      </c>
      <c r="E16" s="11">
        <v>1284.0740000000001</v>
      </c>
      <c r="F16" s="11">
        <v>3</v>
      </c>
      <c r="G16" s="11">
        <v>2689.6660000000002</v>
      </c>
      <c r="H16" s="11">
        <v>7</v>
      </c>
      <c r="I16" s="11">
        <v>121.51800000000003</v>
      </c>
      <c r="J16" s="11">
        <v>6</v>
      </c>
      <c r="K16" s="9">
        <f>I16/G16</f>
        <v>4.5179587353968868E-2</v>
      </c>
      <c r="L16" s="54">
        <f t="shared" si="3"/>
        <v>4.5179587353968868E-2</v>
      </c>
      <c r="M16" s="12" t="s">
        <v>9</v>
      </c>
      <c r="O16" s="11" t="s">
        <v>15</v>
      </c>
      <c r="P16" s="11">
        <v>1469.0039999999999</v>
      </c>
      <c r="Q16" s="11">
        <v>3</v>
      </c>
      <c r="R16" s="11">
        <v>1333.6089999999999</v>
      </c>
      <c r="S16" s="11">
        <v>3</v>
      </c>
      <c r="T16" s="11">
        <f t="shared" si="0"/>
        <v>2802.6129999999998</v>
      </c>
      <c r="U16" s="11">
        <v>7</v>
      </c>
      <c r="V16" s="11">
        <f t="shared" si="1"/>
        <v>135.39499999999998</v>
      </c>
      <c r="W16" s="11">
        <v>6</v>
      </c>
      <c r="X16" s="9">
        <f t="shared" si="2"/>
        <v>4.8310273305661532E-2</v>
      </c>
      <c r="Y16" s="54">
        <v>4.8310273305661532E-2</v>
      </c>
      <c r="Z16" s="12" t="s">
        <v>9</v>
      </c>
    </row>
    <row r="17" spans="1:26" ht="15.75" customHeight="1" x14ac:dyDescent="0.35">
      <c r="A17" s="2"/>
      <c r="B17" s="11" t="s">
        <v>16</v>
      </c>
      <c r="C17" s="11">
        <v>1914.4</v>
      </c>
      <c r="D17" s="11">
        <v>1</v>
      </c>
      <c r="E17" s="11">
        <v>1808.569</v>
      </c>
      <c r="F17" s="11">
        <v>3</v>
      </c>
      <c r="G17" s="37">
        <v>3722.9690000000001</v>
      </c>
      <c r="H17" s="38">
        <v>4</v>
      </c>
      <c r="I17" s="37">
        <v>105.83100000000013</v>
      </c>
      <c r="J17" s="11">
        <v>4</v>
      </c>
      <c r="K17" s="9">
        <f>I17/G17</f>
        <v>2.8426505834456352E-2</v>
      </c>
      <c r="L17" s="56">
        <f t="shared" si="3"/>
        <v>2.8426505834456352E-2</v>
      </c>
      <c r="M17" s="12" t="s">
        <v>9</v>
      </c>
      <c r="O17" s="11" t="s">
        <v>16</v>
      </c>
      <c r="P17" s="11">
        <v>1266.825</v>
      </c>
      <c r="Q17" s="11">
        <v>3</v>
      </c>
      <c r="R17" s="11">
        <v>1147.2070000000001</v>
      </c>
      <c r="S17" s="11">
        <v>3</v>
      </c>
      <c r="T17" s="11">
        <f t="shared" si="0"/>
        <v>2414.0320000000002</v>
      </c>
      <c r="U17" s="11">
        <v>7</v>
      </c>
      <c r="V17" s="11">
        <f t="shared" si="1"/>
        <v>119.61799999999994</v>
      </c>
      <c r="W17" s="11">
        <v>6</v>
      </c>
      <c r="X17" s="9">
        <f t="shared" si="2"/>
        <v>4.9551124425856796E-2</v>
      </c>
      <c r="Y17" s="54">
        <v>4.9551124425856796E-2</v>
      </c>
      <c r="Z17" s="12" t="s">
        <v>9</v>
      </c>
    </row>
    <row r="18" spans="1:26" ht="15.75" customHeight="1" x14ac:dyDescent="0.35">
      <c r="A18" s="2"/>
      <c r="B18" s="11" t="s">
        <v>17</v>
      </c>
      <c r="C18" s="11">
        <v>1427.9839999999999</v>
      </c>
      <c r="D18" s="11">
        <v>3</v>
      </c>
      <c r="E18" s="11">
        <v>1312.1320000000001</v>
      </c>
      <c r="F18" s="11">
        <v>3</v>
      </c>
      <c r="G18" s="11">
        <v>2740.116</v>
      </c>
      <c r="H18" s="11">
        <v>7</v>
      </c>
      <c r="I18" s="11">
        <v>115.85199999999986</v>
      </c>
      <c r="J18" s="11">
        <v>6</v>
      </c>
      <c r="K18" s="9">
        <f>I18/G18</f>
        <v>4.2279961870227339E-2</v>
      </c>
      <c r="L18" s="54">
        <f t="shared" si="3"/>
        <v>4.2279961870227339E-2</v>
      </c>
      <c r="M18" s="12" t="s">
        <v>9</v>
      </c>
      <c r="O18" s="11" t="s">
        <v>17</v>
      </c>
      <c r="P18" s="11">
        <v>1494.2560000000001</v>
      </c>
      <c r="Q18" s="11">
        <v>3</v>
      </c>
      <c r="R18" s="11">
        <v>1428.2950000000001</v>
      </c>
      <c r="S18" s="11">
        <v>3</v>
      </c>
      <c r="T18" s="11">
        <f t="shared" si="0"/>
        <v>2922.5510000000004</v>
      </c>
      <c r="U18" s="11">
        <v>7</v>
      </c>
      <c r="V18" s="11">
        <f t="shared" si="1"/>
        <v>65.961000000000013</v>
      </c>
      <c r="W18" s="11">
        <v>5</v>
      </c>
      <c r="X18" s="9">
        <f t="shared" si="2"/>
        <v>2.2569666021225978E-2</v>
      </c>
      <c r="Y18" s="55">
        <v>2.2569666021225978E-2</v>
      </c>
      <c r="Z18" s="12" t="s">
        <v>9</v>
      </c>
    </row>
    <row r="19" spans="1:26" ht="15.75" customHeight="1" x14ac:dyDescent="0.35">
      <c r="A19" s="2"/>
      <c r="B19" s="11" t="s">
        <v>18</v>
      </c>
      <c r="C19" s="11">
        <v>1447.548</v>
      </c>
      <c r="D19" s="11">
        <v>3</v>
      </c>
      <c r="E19" s="11">
        <v>1321.7639999999999</v>
      </c>
      <c r="F19" s="11">
        <v>3</v>
      </c>
      <c r="G19" s="11">
        <v>2769.3119999999999</v>
      </c>
      <c r="H19" s="11">
        <v>7</v>
      </c>
      <c r="I19" s="11">
        <v>125.78400000000011</v>
      </c>
      <c r="J19" s="11">
        <v>6</v>
      </c>
      <c r="K19" s="9">
        <f>I19/G19</f>
        <v>4.5420667660415331E-2</v>
      </c>
      <c r="L19" s="54">
        <f t="shared" si="3"/>
        <v>4.5420667660415331E-2</v>
      </c>
      <c r="M19" s="12" t="s">
        <v>9</v>
      </c>
      <c r="O19" s="11" t="s">
        <v>18</v>
      </c>
      <c r="P19" s="11">
        <v>1202.075</v>
      </c>
      <c r="Q19" s="11">
        <v>3</v>
      </c>
      <c r="R19" s="11">
        <v>1171.193</v>
      </c>
      <c r="S19" s="11">
        <v>3</v>
      </c>
      <c r="T19" s="11">
        <f t="shared" si="0"/>
        <v>2373.268</v>
      </c>
      <c r="U19" s="11">
        <v>7</v>
      </c>
      <c r="V19" s="11">
        <f t="shared" si="1"/>
        <v>30.882000000000062</v>
      </c>
      <c r="W19" s="11">
        <v>5</v>
      </c>
      <c r="X19" s="9">
        <f t="shared" si="2"/>
        <v>1.3012436859216938E-2</v>
      </c>
      <c r="Y19" s="55">
        <v>1.3012436859216938E-2</v>
      </c>
      <c r="Z19" s="12" t="s">
        <v>9</v>
      </c>
    </row>
    <row r="20" spans="1:26" ht="15.75" customHeight="1" x14ac:dyDescent="0.35">
      <c r="A20" s="2"/>
      <c r="B20" s="11" t="s">
        <v>19</v>
      </c>
      <c r="C20" s="11">
        <v>1488.4549999999999</v>
      </c>
      <c r="D20" s="11">
        <v>3</v>
      </c>
      <c r="E20" s="11">
        <v>1441.096</v>
      </c>
      <c r="F20" s="11">
        <v>3</v>
      </c>
      <c r="G20" s="11">
        <v>2929.5509999999999</v>
      </c>
      <c r="H20" s="11">
        <v>7</v>
      </c>
      <c r="I20" s="11">
        <v>47.358999999999924</v>
      </c>
      <c r="J20" s="11">
        <v>5</v>
      </c>
      <c r="K20" s="9">
        <f>I20/G20</f>
        <v>1.6165958537673494E-2</v>
      </c>
      <c r="L20" s="55">
        <f t="shared" si="3"/>
        <v>1.6165958537673494E-2</v>
      </c>
      <c r="M20" s="14" t="s">
        <v>9</v>
      </c>
      <c r="O20" s="11" t="s">
        <v>19</v>
      </c>
      <c r="P20" s="11">
        <v>1361.7449999999999</v>
      </c>
      <c r="Q20" s="11">
        <v>3</v>
      </c>
      <c r="R20" s="11">
        <v>1241.104</v>
      </c>
      <c r="S20" s="11">
        <v>3</v>
      </c>
      <c r="T20" s="11">
        <f t="shared" si="0"/>
        <v>2602.8490000000002</v>
      </c>
      <c r="U20" s="11">
        <v>7</v>
      </c>
      <c r="V20" s="11">
        <f t="shared" si="1"/>
        <v>120.64099999999985</v>
      </c>
      <c r="W20" s="11">
        <v>6</v>
      </c>
      <c r="X20" s="9">
        <f t="shared" si="2"/>
        <v>4.6349596154060355E-2</v>
      </c>
      <c r="Y20" s="54">
        <v>4.6349596154060355E-2</v>
      </c>
      <c r="Z20" s="12" t="s">
        <v>9</v>
      </c>
    </row>
    <row r="21" spans="1:26" ht="15.75" customHeight="1" x14ac:dyDescent="0.35">
      <c r="A21" s="2"/>
      <c r="B21" s="15" t="s">
        <v>20</v>
      </c>
      <c r="C21" s="15">
        <f t="shared" ref="C21:E21" si="4">AVERAGE(C11:C20)</f>
        <v>1479.9704000000002</v>
      </c>
      <c r="D21" s="15"/>
      <c r="E21" s="15">
        <f t="shared" si="4"/>
        <v>1386.2372999999998</v>
      </c>
      <c r="F21" s="15"/>
      <c r="G21" s="15">
        <f>C21+E21</f>
        <v>2866.2076999999999</v>
      </c>
      <c r="H21" s="16"/>
      <c r="I21" s="16">
        <f>C21-E21</f>
        <v>93.733100000000377</v>
      </c>
      <c r="J21" s="16"/>
      <c r="K21" s="15">
        <f>I21/G21</f>
        <v>3.270282889826874E-2</v>
      </c>
      <c r="L21" s="34"/>
      <c r="M21" s="17" t="s">
        <v>9</v>
      </c>
      <c r="O21" s="15" t="s">
        <v>20</v>
      </c>
      <c r="P21" s="15">
        <f t="shared" ref="P21:X21" si="5">AVERAGE(P11:P20)</f>
        <v>1431.866</v>
      </c>
      <c r="Q21" s="15"/>
      <c r="R21" s="15">
        <f t="shared" si="5"/>
        <v>1268.5713999999998</v>
      </c>
      <c r="S21" s="15"/>
      <c r="T21" s="15">
        <f t="shared" si="5"/>
        <v>2700.4374000000003</v>
      </c>
      <c r="U21" s="15"/>
      <c r="V21" s="15">
        <f t="shared" si="5"/>
        <v>163.29459999999997</v>
      </c>
      <c r="W21" s="15"/>
      <c r="X21" s="15">
        <f t="shared" si="5"/>
        <v>6.0211683264036954E-2</v>
      </c>
      <c r="Y21" s="15"/>
      <c r="Z21" s="18" t="s">
        <v>11</v>
      </c>
    </row>
    <row r="22" spans="1:26" ht="15.75" customHeight="1" x14ac:dyDescent="0.35">
      <c r="A22" s="2"/>
      <c r="B22" s="15" t="s">
        <v>21</v>
      </c>
      <c r="C22" s="45">
        <f>AVERAGE(C21:E21)</f>
        <v>1433.10385</v>
      </c>
      <c r="D22" s="46"/>
      <c r="E22" s="47"/>
      <c r="F22" s="33"/>
      <c r="O22" s="15" t="s">
        <v>21</v>
      </c>
      <c r="P22" s="19">
        <f>AVERAGE(P21, R21)</f>
        <v>1350.2186999999999</v>
      </c>
      <c r="Q22" s="32"/>
      <c r="R22" s="8"/>
      <c r="S22" s="33"/>
    </row>
    <row r="23" spans="1:26" ht="15.75" customHeight="1" x14ac:dyDescent="0.35">
      <c r="A23" s="2"/>
      <c r="B23" s="20" t="s">
        <v>22</v>
      </c>
      <c r="C23" s="42">
        <f>STDEV(L11:L20)</f>
        <v>1.3085428790301275E-2</v>
      </c>
      <c r="D23" s="43"/>
      <c r="E23" s="44"/>
      <c r="F23" s="33"/>
      <c r="G23" s="3"/>
      <c r="H23" s="3"/>
      <c r="I23" s="2"/>
      <c r="J23" s="2"/>
      <c r="K23" s="3"/>
      <c r="L23" s="3"/>
      <c r="M23" s="3"/>
      <c r="O23" s="20" t="s">
        <v>22</v>
      </c>
      <c r="P23" s="39">
        <f>STDEV(Y11:Y20)</f>
        <v>5.5572923161756098E-2</v>
      </c>
      <c r="Q23" s="40"/>
      <c r="R23" s="41"/>
      <c r="S23" s="33"/>
      <c r="T23" s="3"/>
      <c r="U23" s="3"/>
      <c r="V23" s="3"/>
      <c r="W23" s="3"/>
      <c r="X23" s="3"/>
      <c r="Y23" s="3"/>
      <c r="Z23" s="3"/>
    </row>
    <row r="24" spans="1:26" ht="15.75" customHeight="1" x14ac:dyDescent="0.35">
      <c r="A24" s="2"/>
      <c r="B24" s="3"/>
      <c r="C24" s="3"/>
      <c r="D24" s="3"/>
      <c r="E24" s="3"/>
      <c r="F24" s="3"/>
      <c r="G24" s="3"/>
      <c r="H24" s="3"/>
      <c r="I24" s="2"/>
      <c r="J24" s="2"/>
      <c r="K24" s="3"/>
      <c r="L24" s="3"/>
      <c r="M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5">
      <c r="A25" s="2"/>
      <c r="B25" s="3"/>
      <c r="C25" s="3"/>
      <c r="D25" s="3"/>
      <c r="E25" s="3"/>
      <c r="F25" s="3"/>
      <c r="G25" s="3"/>
      <c r="H25" s="3"/>
      <c r="I25" s="2"/>
      <c r="J25" s="2"/>
      <c r="K25" s="3"/>
      <c r="L25" s="3"/>
      <c r="M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5">
      <c r="A26" s="2"/>
      <c r="B26" s="6" t="s">
        <v>23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O26" s="6" t="s">
        <v>24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ht="15.75" customHeight="1" x14ac:dyDescent="0.35">
      <c r="B27" s="9"/>
      <c r="C27" s="10" t="s">
        <v>2</v>
      </c>
      <c r="D27" s="10" t="s">
        <v>30</v>
      </c>
      <c r="E27" s="10" t="s">
        <v>3</v>
      </c>
      <c r="F27" s="10" t="s">
        <v>30</v>
      </c>
      <c r="G27" s="10" t="s">
        <v>4</v>
      </c>
      <c r="H27" s="10" t="s">
        <v>29</v>
      </c>
      <c r="I27" s="10" t="s">
        <v>5</v>
      </c>
      <c r="J27" s="10" t="s">
        <v>29</v>
      </c>
      <c r="K27" s="10" t="s">
        <v>6</v>
      </c>
      <c r="L27" s="10" t="s">
        <v>31</v>
      </c>
      <c r="M27" s="10" t="s">
        <v>7</v>
      </c>
      <c r="O27" s="9"/>
      <c r="P27" s="10" t="s">
        <v>2</v>
      </c>
      <c r="Q27" s="10" t="s">
        <v>30</v>
      </c>
      <c r="R27" s="10" t="s">
        <v>3</v>
      </c>
      <c r="S27" s="10" t="s">
        <v>30</v>
      </c>
      <c r="T27" s="10" t="s">
        <v>4</v>
      </c>
      <c r="U27" s="10" t="s">
        <v>29</v>
      </c>
      <c r="V27" s="10" t="s">
        <v>5</v>
      </c>
      <c r="W27" s="10" t="s">
        <v>29</v>
      </c>
      <c r="X27" s="10" t="s">
        <v>6</v>
      </c>
      <c r="Y27" s="10" t="s">
        <v>31</v>
      </c>
      <c r="Z27" s="10" t="s">
        <v>7</v>
      </c>
    </row>
    <row r="28" spans="1:26" ht="15.75" customHeight="1" x14ac:dyDescent="0.35">
      <c r="A28" s="1"/>
      <c r="B28" s="11" t="s">
        <v>8</v>
      </c>
      <c r="C28" s="11">
        <v>1723.126</v>
      </c>
      <c r="D28" s="11">
        <v>7</v>
      </c>
      <c r="E28" s="11">
        <v>1623.46</v>
      </c>
      <c r="F28" s="11">
        <v>6</v>
      </c>
      <c r="G28" s="36">
        <v>3346.5860000000002</v>
      </c>
      <c r="H28" s="11">
        <v>6</v>
      </c>
      <c r="I28" s="11">
        <f>C28-E28</f>
        <v>99.66599999999994</v>
      </c>
      <c r="J28" s="11">
        <v>6</v>
      </c>
      <c r="K28" s="9">
        <f>I28/G28</f>
        <v>2.9781395129245127E-2</v>
      </c>
      <c r="L28" s="54">
        <v>2.9780999999999998E-2</v>
      </c>
      <c r="M28" s="12" t="s">
        <v>9</v>
      </c>
      <c r="O28" s="11" t="s">
        <v>8</v>
      </c>
      <c r="P28" s="11">
        <v>1546.6949999999999</v>
      </c>
      <c r="Q28" s="11">
        <v>3</v>
      </c>
      <c r="R28" s="11">
        <v>1404.402</v>
      </c>
      <c r="S28" s="11">
        <v>3</v>
      </c>
      <c r="T28" s="11">
        <f t="shared" ref="T28:T37" si="6">P28+R28</f>
        <v>2951.0969999999998</v>
      </c>
      <c r="U28" s="11">
        <v>7</v>
      </c>
      <c r="V28" s="35">
        <f t="shared" ref="V28:V37" si="7">P28-R28</f>
        <v>142.29299999999989</v>
      </c>
      <c r="W28" s="11">
        <v>6</v>
      </c>
      <c r="X28" s="9">
        <f t="shared" ref="X28:X37" si="8">V28/T28</f>
        <v>4.8216985073686124E-2</v>
      </c>
      <c r="Y28" s="54">
        <f>X28</f>
        <v>4.8216985073686124E-2</v>
      </c>
      <c r="Z28" s="12" t="s">
        <v>9</v>
      </c>
    </row>
    <row r="29" spans="1:26" ht="15.75" customHeight="1" x14ac:dyDescent="0.35">
      <c r="A29" s="1"/>
      <c r="B29" s="11" t="s">
        <v>10</v>
      </c>
      <c r="C29" s="11">
        <v>1666.94</v>
      </c>
      <c r="D29" s="11">
        <v>6</v>
      </c>
      <c r="E29" s="11">
        <v>1621.57</v>
      </c>
      <c r="F29" s="11">
        <v>6</v>
      </c>
      <c r="G29" s="11">
        <v>3288.51</v>
      </c>
      <c r="H29" s="11">
        <v>6</v>
      </c>
      <c r="I29" s="11">
        <f>C29-E29</f>
        <v>45.370000000000118</v>
      </c>
      <c r="J29" s="11">
        <v>4</v>
      </c>
      <c r="K29" s="9">
        <f>I29/G29</f>
        <v>1.3796521829035069E-2</v>
      </c>
      <c r="L29" s="56">
        <v>1.38E-2</v>
      </c>
      <c r="M29" s="12" t="s">
        <v>9</v>
      </c>
      <c r="O29" s="11" t="s">
        <v>10</v>
      </c>
      <c r="P29" s="11">
        <v>1653.944</v>
      </c>
      <c r="Q29" s="11">
        <v>3</v>
      </c>
      <c r="R29" s="11">
        <v>1503.7729999999999</v>
      </c>
      <c r="S29" s="11">
        <v>3</v>
      </c>
      <c r="T29" s="11">
        <f t="shared" si="6"/>
        <v>3157.7169999999996</v>
      </c>
      <c r="U29" s="11">
        <v>7</v>
      </c>
      <c r="V29" s="35">
        <f t="shared" si="7"/>
        <v>150.17100000000005</v>
      </c>
      <c r="W29" s="11">
        <v>6</v>
      </c>
      <c r="X29" s="9">
        <f t="shared" si="8"/>
        <v>4.7556826656727016E-2</v>
      </c>
      <c r="Y29" s="54">
        <f t="shared" ref="Y29:Y37" si="9">X29</f>
        <v>4.7556826656727016E-2</v>
      </c>
      <c r="Z29" s="12" t="s">
        <v>9</v>
      </c>
    </row>
    <row r="30" spans="1:26" ht="15.75" customHeight="1" x14ac:dyDescent="0.35">
      <c r="A30" s="1"/>
      <c r="B30" s="11" t="s">
        <v>12</v>
      </c>
      <c r="C30" s="11">
        <v>1437.856</v>
      </c>
      <c r="D30" s="11">
        <v>7</v>
      </c>
      <c r="E30" s="11">
        <v>1403.75</v>
      </c>
      <c r="F30" s="11">
        <v>6</v>
      </c>
      <c r="G30" s="36">
        <v>2841.6059999999998</v>
      </c>
      <c r="H30" s="11">
        <v>6</v>
      </c>
      <c r="I30" s="11">
        <f>C30-E30</f>
        <v>34.105999999999995</v>
      </c>
      <c r="J30" s="11">
        <v>5</v>
      </c>
      <c r="K30" s="9">
        <f>I30/G30</f>
        <v>1.2002367675180864E-2</v>
      </c>
      <c r="L30" s="55">
        <v>1.2E-2</v>
      </c>
      <c r="M30" s="12" t="s">
        <v>9</v>
      </c>
      <c r="O30" s="11" t="s">
        <v>12</v>
      </c>
      <c r="P30" s="11">
        <v>1478.7919999999999</v>
      </c>
      <c r="Q30" s="11">
        <v>3</v>
      </c>
      <c r="R30" s="11">
        <v>1342.1849999999999</v>
      </c>
      <c r="S30" s="11">
        <v>3</v>
      </c>
      <c r="T30" s="11">
        <f t="shared" si="6"/>
        <v>2820.9769999999999</v>
      </c>
      <c r="U30" s="11">
        <v>7</v>
      </c>
      <c r="V30" s="35">
        <f t="shared" si="7"/>
        <v>136.60699999999997</v>
      </c>
      <c r="W30" s="11">
        <v>6</v>
      </c>
      <c r="X30" s="9">
        <f t="shared" si="8"/>
        <v>4.8425421405420881E-2</v>
      </c>
      <c r="Y30" s="54">
        <f t="shared" si="9"/>
        <v>4.8425421405420881E-2</v>
      </c>
      <c r="Z30" s="12" t="s">
        <v>9</v>
      </c>
    </row>
    <row r="31" spans="1:26" ht="15.75" customHeight="1" x14ac:dyDescent="0.35">
      <c r="A31" s="1"/>
      <c r="B31" s="11" t="s">
        <v>13</v>
      </c>
      <c r="C31" s="11">
        <v>1663.021</v>
      </c>
      <c r="D31" s="11">
        <v>7</v>
      </c>
      <c r="E31" s="11">
        <v>1602.52</v>
      </c>
      <c r="F31" s="11">
        <v>6</v>
      </c>
      <c r="G31" s="36">
        <v>3265.5410000000002</v>
      </c>
      <c r="H31" s="11">
        <v>6</v>
      </c>
      <c r="I31" s="11">
        <f>C31-E31</f>
        <v>60.500999999999976</v>
      </c>
      <c r="J31" s="11">
        <v>5</v>
      </c>
      <c r="K31" s="9">
        <f>I31/G31</f>
        <v>1.8527098572640788E-2</v>
      </c>
      <c r="L31" s="55">
        <v>1.8530000000000001E-2</v>
      </c>
      <c r="M31" s="12" t="s">
        <v>9</v>
      </c>
      <c r="O31" s="11" t="s">
        <v>13</v>
      </c>
      <c r="P31" s="11">
        <v>1471.1510000000001</v>
      </c>
      <c r="Q31" s="11">
        <v>3</v>
      </c>
      <c r="R31" s="11">
        <v>1331.521</v>
      </c>
      <c r="S31" s="11">
        <v>3</v>
      </c>
      <c r="T31" s="11">
        <f t="shared" si="6"/>
        <v>2802.672</v>
      </c>
      <c r="U31" s="11">
        <v>7</v>
      </c>
      <c r="V31" s="35">
        <f t="shared" si="7"/>
        <v>139.63000000000011</v>
      </c>
      <c r="W31" s="11">
        <v>6</v>
      </c>
      <c r="X31" s="9">
        <f t="shared" si="8"/>
        <v>4.9820314328612163E-2</v>
      </c>
      <c r="Y31" s="54">
        <f t="shared" si="9"/>
        <v>4.9820314328612163E-2</v>
      </c>
      <c r="Z31" s="12" t="s">
        <v>9</v>
      </c>
    </row>
    <row r="32" spans="1:26" ht="15.75" customHeight="1" x14ac:dyDescent="0.35">
      <c r="A32" s="1"/>
      <c r="B32" s="11" t="s">
        <v>14</v>
      </c>
      <c r="C32" s="11">
        <v>1699.7929999999999</v>
      </c>
      <c r="D32" s="11">
        <v>7</v>
      </c>
      <c r="E32" s="11">
        <v>1630.3209999999999</v>
      </c>
      <c r="F32" s="11">
        <v>7</v>
      </c>
      <c r="G32" s="11">
        <v>3330.1139999999996</v>
      </c>
      <c r="H32" s="11">
        <v>7</v>
      </c>
      <c r="I32" s="11">
        <f>C32-E32</f>
        <v>69.47199999999998</v>
      </c>
      <c r="J32" s="11">
        <v>5</v>
      </c>
      <c r="K32" s="9">
        <f>I32/G32</f>
        <v>2.0861748276485428E-2</v>
      </c>
      <c r="L32" s="55">
        <v>2.086E-2</v>
      </c>
      <c r="M32" s="12" t="s">
        <v>9</v>
      </c>
      <c r="O32" s="11" t="s">
        <v>14</v>
      </c>
      <c r="P32" s="11">
        <v>1527.4110000000001</v>
      </c>
      <c r="Q32" s="11">
        <v>3</v>
      </c>
      <c r="R32" s="11">
        <v>1385.953</v>
      </c>
      <c r="S32" s="11">
        <v>3</v>
      </c>
      <c r="T32" s="11">
        <f t="shared" si="6"/>
        <v>2913.364</v>
      </c>
      <c r="U32" s="11">
        <v>7</v>
      </c>
      <c r="V32" s="35">
        <f t="shared" si="7"/>
        <v>141.45800000000008</v>
      </c>
      <c r="W32" s="11">
        <v>6</v>
      </c>
      <c r="X32" s="9">
        <f t="shared" si="8"/>
        <v>4.8554866470513151E-2</v>
      </c>
      <c r="Y32" s="54">
        <f t="shared" si="9"/>
        <v>4.8554866470513151E-2</v>
      </c>
      <c r="Z32" s="12" t="s">
        <v>9</v>
      </c>
    </row>
    <row r="33" spans="1:26" ht="15.75" customHeight="1" x14ac:dyDescent="0.35">
      <c r="A33" s="1"/>
      <c r="B33" s="11" t="s">
        <v>15</v>
      </c>
      <c r="C33" s="11">
        <v>1701.297</v>
      </c>
      <c r="D33" s="11">
        <v>7</v>
      </c>
      <c r="E33" s="11">
        <v>1631.48</v>
      </c>
      <c r="F33" s="11">
        <v>6</v>
      </c>
      <c r="G33" s="36">
        <v>3332.777</v>
      </c>
      <c r="H33" s="11">
        <v>6</v>
      </c>
      <c r="I33" s="11">
        <f>C33-E33</f>
        <v>69.817000000000007</v>
      </c>
      <c r="J33" s="11">
        <v>5</v>
      </c>
      <c r="K33" s="9">
        <f>I33/G33</f>
        <v>2.0948596320725932E-2</v>
      </c>
      <c r="L33" s="55">
        <v>2.095E-2</v>
      </c>
      <c r="M33" s="12" t="s">
        <v>9</v>
      </c>
      <c r="O33" s="11" t="s">
        <v>15</v>
      </c>
      <c r="P33" s="11">
        <v>1564.3889999999999</v>
      </c>
      <c r="Q33" s="11">
        <v>3</v>
      </c>
      <c r="R33" s="11">
        <v>1417.5889999999999</v>
      </c>
      <c r="S33" s="11">
        <v>3</v>
      </c>
      <c r="T33" s="11">
        <f t="shared" si="6"/>
        <v>2981.9780000000001</v>
      </c>
      <c r="U33" s="11">
        <v>7</v>
      </c>
      <c r="V33" s="35">
        <f t="shared" si="7"/>
        <v>146.79999999999995</v>
      </c>
      <c r="W33" s="11">
        <v>6</v>
      </c>
      <c r="X33" s="9">
        <f t="shared" si="8"/>
        <v>4.9229068759058567E-2</v>
      </c>
      <c r="Y33" s="54">
        <f t="shared" si="9"/>
        <v>4.9229068759058567E-2</v>
      </c>
      <c r="Z33" s="12" t="s">
        <v>9</v>
      </c>
    </row>
    <row r="34" spans="1:26" ht="15.75" customHeight="1" x14ac:dyDescent="0.35">
      <c r="A34" s="1"/>
      <c r="B34" s="11" t="s">
        <v>16</v>
      </c>
      <c r="C34" s="11">
        <v>1606.74</v>
      </c>
      <c r="D34" s="11">
        <v>6</v>
      </c>
      <c r="E34" s="11">
        <v>1537.9</v>
      </c>
      <c r="F34" s="11">
        <v>5</v>
      </c>
      <c r="G34" s="37">
        <v>3144.6400000000003</v>
      </c>
      <c r="H34" s="11">
        <v>5</v>
      </c>
      <c r="I34" s="11">
        <f>C34-E34</f>
        <v>68.839999999999918</v>
      </c>
      <c r="J34" s="11">
        <v>4</v>
      </c>
      <c r="K34" s="9">
        <f>I34/G34</f>
        <v>2.1891218072656937E-2</v>
      </c>
      <c r="L34" s="56">
        <v>2.1899999999999999E-2</v>
      </c>
      <c r="M34" s="12" t="s">
        <v>9</v>
      </c>
      <c r="O34" s="11" t="s">
        <v>16</v>
      </c>
      <c r="P34" s="11">
        <v>1525.26</v>
      </c>
      <c r="Q34" s="11">
        <v>2</v>
      </c>
      <c r="R34" s="11">
        <v>1428.1389999999999</v>
      </c>
      <c r="S34" s="11">
        <v>3</v>
      </c>
      <c r="T34" s="36">
        <f t="shared" si="6"/>
        <v>2953.3989999999999</v>
      </c>
      <c r="U34" s="11">
        <v>6</v>
      </c>
      <c r="V34" s="36">
        <f t="shared" si="7"/>
        <v>97.121000000000095</v>
      </c>
      <c r="W34" s="11">
        <v>4</v>
      </c>
      <c r="X34" s="9">
        <f t="shared" si="8"/>
        <v>3.2884483268261447E-2</v>
      </c>
      <c r="Y34" s="56">
        <f t="shared" si="9"/>
        <v>3.2884483268261447E-2</v>
      </c>
      <c r="Z34" s="12" t="s">
        <v>9</v>
      </c>
    </row>
    <row r="35" spans="1:26" ht="15.75" customHeight="1" x14ac:dyDescent="0.35">
      <c r="A35" s="1"/>
      <c r="B35" s="11" t="s">
        <v>17</v>
      </c>
      <c r="C35" s="11">
        <v>1679.7819999999999</v>
      </c>
      <c r="D35" s="11">
        <v>7</v>
      </c>
      <c r="E35" s="11">
        <v>1552.0409999999999</v>
      </c>
      <c r="F35" s="11">
        <v>7</v>
      </c>
      <c r="G35" s="11">
        <v>3231.8229999999999</v>
      </c>
      <c r="H35" s="11">
        <v>7</v>
      </c>
      <c r="I35" s="11">
        <f>C35-E35</f>
        <v>127.74099999999999</v>
      </c>
      <c r="J35" s="11">
        <v>6</v>
      </c>
      <c r="K35" s="9">
        <f>I35/G35</f>
        <v>3.952598889233723E-2</v>
      </c>
      <c r="L35" s="54">
        <v>3.9525999999999999E-2</v>
      </c>
      <c r="M35" s="12" t="s">
        <v>9</v>
      </c>
      <c r="O35" s="11" t="s">
        <v>17</v>
      </c>
      <c r="P35" s="11">
        <v>1688.846</v>
      </c>
      <c r="Q35" s="11">
        <v>3</v>
      </c>
      <c r="R35" s="11">
        <v>1439.001</v>
      </c>
      <c r="S35" s="11">
        <v>3</v>
      </c>
      <c r="T35" s="11">
        <f t="shared" si="6"/>
        <v>3127.8469999999998</v>
      </c>
      <c r="U35" s="11">
        <v>7</v>
      </c>
      <c r="V35" s="35">
        <f t="shared" si="7"/>
        <v>249.84500000000003</v>
      </c>
      <c r="W35" s="11">
        <v>6</v>
      </c>
      <c r="X35" s="9">
        <f t="shared" si="8"/>
        <v>7.9877628285526775E-2</v>
      </c>
      <c r="Y35" s="54">
        <f t="shared" si="9"/>
        <v>7.9877628285526775E-2</v>
      </c>
      <c r="Z35" s="13" t="s">
        <v>11</v>
      </c>
    </row>
    <row r="36" spans="1:26" ht="15.75" customHeight="1" x14ac:dyDescent="0.35">
      <c r="A36" s="1"/>
      <c r="B36" s="11" t="s">
        <v>18</v>
      </c>
      <c r="C36" s="11">
        <v>1666.8150000000001</v>
      </c>
      <c r="D36" s="11">
        <v>7</v>
      </c>
      <c r="E36" s="11">
        <v>1549.96</v>
      </c>
      <c r="F36" s="11">
        <v>6</v>
      </c>
      <c r="G36" s="36">
        <v>3216.7750000000001</v>
      </c>
      <c r="H36" s="11">
        <v>6</v>
      </c>
      <c r="I36" s="11">
        <f>C36-E36</f>
        <v>116.85500000000002</v>
      </c>
      <c r="J36" s="11">
        <v>6</v>
      </c>
      <c r="K36" s="9">
        <f>I36/G36</f>
        <v>3.6326755834648061E-2</v>
      </c>
      <c r="L36" s="54">
        <v>3.6326999999999998E-2</v>
      </c>
      <c r="M36" s="12" t="s">
        <v>9</v>
      </c>
      <c r="O36" s="11" t="s">
        <v>18</v>
      </c>
      <c r="P36" s="11">
        <v>1686.2639999999999</v>
      </c>
      <c r="Q36" s="11">
        <v>3</v>
      </c>
      <c r="R36" s="11">
        <v>1438.8889999999999</v>
      </c>
      <c r="S36" s="11">
        <v>3</v>
      </c>
      <c r="T36" s="11">
        <f t="shared" si="6"/>
        <v>3125.1529999999998</v>
      </c>
      <c r="U36" s="11">
        <v>7</v>
      </c>
      <c r="V36" s="35">
        <f t="shared" si="7"/>
        <v>247.375</v>
      </c>
      <c r="W36" s="11">
        <v>6</v>
      </c>
      <c r="X36" s="9">
        <f t="shared" si="8"/>
        <v>7.9156124516143692E-2</v>
      </c>
      <c r="Y36" s="54">
        <f t="shared" si="9"/>
        <v>7.9156124516143692E-2</v>
      </c>
      <c r="Z36" s="13" t="s">
        <v>11</v>
      </c>
    </row>
    <row r="37" spans="1:26" ht="15.75" customHeight="1" x14ac:dyDescent="0.35">
      <c r="A37" s="1"/>
      <c r="B37" s="11" t="s">
        <v>19</v>
      </c>
      <c r="C37" s="11">
        <v>1674.569</v>
      </c>
      <c r="D37" s="11">
        <v>7</v>
      </c>
      <c r="E37" s="11">
        <v>1571.1590000000001</v>
      </c>
      <c r="F37" s="11">
        <v>7</v>
      </c>
      <c r="G37" s="11">
        <v>3245.7280000000001</v>
      </c>
      <c r="H37" s="11">
        <v>7</v>
      </c>
      <c r="I37" s="11">
        <f>C37-E37</f>
        <v>103.40999999999985</v>
      </c>
      <c r="J37" s="11">
        <v>5</v>
      </c>
      <c r="K37" s="9">
        <f>I37/G37</f>
        <v>3.186034073095461E-2</v>
      </c>
      <c r="L37" s="55">
        <v>3.1859999999999999E-2</v>
      </c>
      <c r="M37" s="12" t="s">
        <v>9</v>
      </c>
      <c r="O37" s="11" t="s">
        <v>19</v>
      </c>
      <c r="P37" s="11">
        <v>1644.164</v>
      </c>
      <c r="Q37" s="11">
        <v>3</v>
      </c>
      <c r="R37" s="11">
        <v>1499.568</v>
      </c>
      <c r="S37" s="11">
        <v>3</v>
      </c>
      <c r="T37" s="11">
        <f t="shared" si="6"/>
        <v>3143.732</v>
      </c>
      <c r="U37" s="11">
        <v>7</v>
      </c>
      <c r="V37" s="35">
        <f t="shared" si="7"/>
        <v>144.596</v>
      </c>
      <c r="W37" s="11">
        <v>6</v>
      </c>
      <c r="X37" s="9">
        <f t="shared" si="8"/>
        <v>4.5995014842232097E-2</v>
      </c>
      <c r="Y37" s="54">
        <f t="shared" si="9"/>
        <v>4.5995014842232097E-2</v>
      </c>
      <c r="Z37" s="12" t="s">
        <v>9</v>
      </c>
    </row>
    <row r="38" spans="1:26" ht="15.75" customHeight="1" x14ac:dyDescent="0.35">
      <c r="A38" s="21"/>
      <c r="B38" s="15" t="s">
        <v>20</v>
      </c>
      <c r="C38" s="15">
        <f t="shared" ref="C38:K38" si="10">AVERAGE(C28:C37)</f>
        <v>1651.9938999999999</v>
      </c>
      <c r="D38" s="15"/>
      <c r="E38" s="15">
        <f t="shared" si="10"/>
        <v>1572.4160999999997</v>
      </c>
      <c r="F38" s="15"/>
      <c r="G38" s="15">
        <f t="shared" si="10"/>
        <v>3224.4100000000003</v>
      </c>
      <c r="H38" s="15"/>
      <c r="I38" s="15">
        <f t="shared" si="10"/>
        <v>79.577799999999982</v>
      </c>
      <c r="J38" s="15"/>
      <c r="K38" s="15">
        <f t="shared" si="10"/>
        <v>2.4552203133391005E-2</v>
      </c>
      <c r="L38" s="34"/>
      <c r="M38" s="17" t="s">
        <v>9</v>
      </c>
      <c r="O38" s="15" t="s">
        <v>20</v>
      </c>
      <c r="P38" s="15">
        <f t="shared" ref="P38:X38" si="11">AVERAGE(P28:P37)</f>
        <v>1578.6915999999999</v>
      </c>
      <c r="Q38" s="15"/>
      <c r="R38" s="15">
        <f t="shared" si="11"/>
        <v>1419.1019999999999</v>
      </c>
      <c r="S38" s="15"/>
      <c r="T38" s="15">
        <f t="shared" si="11"/>
        <v>2997.7936</v>
      </c>
      <c r="U38" s="15"/>
      <c r="V38" s="15">
        <f t="shared" si="11"/>
        <v>159.58960000000002</v>
      </c>
      <c r="W38" s="15"/>
      <c r="X38" s="15">
        <f t="shared" si="11"/>
        <v>5.2971673360618185E-2</v>
      </c>
      <c r="Y38" s="15"/>
      <c r="Z38" s="18" t="s">
        <v>11</v>
      </c>
    </row>
    <row r="39" spans="1:26" ht="15.75" customHeight="1" x14ac:dyDescent="0.35">
      <c r="A39" s="21"/>
      <c r="B39" s="15" t="s">
        <v>21</v>
      </c>
      <c r="C39" s="19">
        <f>AVERAGE(C38, E38)</f>
        <v>1612.2049999999999</v>
      </c>
      <c r="D39" s="32"/>
      <c r="E39" s="8"/>
      <c r="F39" s="33"/>
      <c r="O39" s="15" t="s">
        <v>21</v>
      </c>
      <c r="P39" s="19">
        <f>AVERAGE(P38, R38)</f>
        <v>1498.8968</v>
      </c>
      <c r="Q39" s="32"/>
      <c r="R39" s="8"/>
      <c r="S39" s="33"/>
    </row>
    <row r="40" spans="1:26" ht="15.75" customHeight="1" x14ac:dyDescent="0.35">
      <c r="B40" s="20" t="s">
        <v>22</v>
      </c>
      <c r="C40" s="39">
        <f>STDEV(L28:L37)</f>
        <v>9.3492819118190362E-3</v>
      </c>
      <c r="D40" s="40"/>
      <c r="E40" s="41"/>
      <c r="F40" s="33"/>
      <c r="K40" s="1"/>
      <c r="L40" s="1"/>
      <c r="O40" s="20" t="s">
        <v>22</v>
      </c>
      <c r="P40" s="42">
        <f>STDEV(Y28:Y37)</f>
        <v>1.4824031656796422E-2</v>
      </c>
      <c r="Q40" s="43"/>
      <c r="R40" s="44"/>
      <c r="S40" s="33"/>
    </row>
    <row r="41" spans="1:26" ht="15.75" customHeight="1" x14ac:dyDescent="0.35">
      <c r="C41" s="21"/>
      <c r="D41" s="21"/>
      <c r="K41" s="1"/>
      <c r="L41" s="1"/>
    </row>
    <row r="42" spans="1:26" ht="15.75" customHeight="1" x14ac:dyDescent="0.35">
      <c r="C42" s="21"/>
      <c r="D42" s="21"/>
      <c r="K42" s="1"/>
      <c r="L42" s="1"/>
    </row>
    <row r="43" spans="1:26" ht="15.75" customHeight="1" x14ac:dyDescent="0.35">
      <c r="B43" s="6" t="s">
        <v>25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  <c r="O43" s="6" t="s">
        <v>26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1:26" ht="15.75" customHeight="1" x14ac:dyDescent="0.35">
      <c r="B44" s="9"/>
      <c r="C44" s="10" t="s">
        <v>2</v>
      </c>
      <c r="D44" s="10" t="s">
        <v>30</v>
      </c>
      <c r="E44" s="10" t="s">
        <v>3</v>
      </c>
      <c r="F44" s="10" t="s">
        <v>30</v>
      </c>
      <c r="G44" s="10" t="s">
        <v>4</v>
      </c>
      <c r="H44" s="10" t="s">
        <v>29</v>
      </c>
      <c r="I44" s="10" t="s">
        <v>5</v>
      </c>
      <c r="J44" s="10" t="s">
        <v>29</v>
      </c>
      <c r="K44" s="10" t="s">
        <v>6</v>
      </c>
      <c r="L44" s="10" t="s">
        <v>31</v>
      </c>
      <c r="M44" s="10" t="s">
        <v>7</v>
      </c>
      <c r="O44" s="9"/>
      <c r="P44" s="10" t="s">
        <v>2</v>
      </c>
      <c r="Q44" s="10" t="s">
        <v>30</v>
      </c>
      <c r="R44" s="10" t="s">
        <v>3</v>
      </c>
      <c r="S44" s="10" t="s">
        <v>30</v>
      </c>
      <c r="T44" s="10" t="s">
        <v>4</v>
      </c>
      <c r="U44" s="10" t="s">
        <v>29</v>
      </c>
      <c r="V44" s="10" t="s">
        <v>5</v>
      </c>
      <c r="W44" s="10" t="s">
        <v>29</v>
      </c>
      <c r="X44" s="10" t="s">
        <v>6</v>
      </c>
      <c r="Y44" s="10" t="s">
        <v>31</v>
      </c>
      <c r="Z44" s="10" t="s">
        <v>7</v>
      </c>
    </row>
    <row r="45" spans="1:26" ht="15.75" customHeight="1" x14ac:dyDescent="0.35">
      <c r="A45" s="1"/>
      <c r="B45" s="11" t="s">
        <v>8</v>
      </c>
      <c r="C45" s="22">
        <v>1768</v>
      </c>
      <c r="D45" s="23">
        <v>0</v>
      </c>
      <c r="E45" s="23">
        <v>1549</v>
      </c>
      <c r="F45" s="23">
        <v>0</v>
      </c>
      <c r="G45" s="11">
        <f>C45+E45</f>
        <v>3317</v>
      </c>
      <c r="H45" s="11">
        <v>4</v>
      </c>
      <c r="I45" s="11">
        <f>C45-E45</f>
        <v>219</v>
      </c>
      <c r="J45" s="11">
        <v>3</v>
      </c>
      <c r="K45" s="9">
        <f>I45/G45</f>
        <v>6.6023515224600537E-2</v>
      </c>
      <c r="L45" s="57">
        <f>ROUND(K45,J45)</f>
        <v>6.6000000000000003E-2</v>
      </c>
      <c r="M45" s="9" t="str">
        <f t="shared" ref="M45:M55" si="12">IF(K45&lt;0.05,"Spherical","Non Spherical")</f>
        <v>Non Spherical</v>
      </c>
      <c r="O45" s="11" t="s">
        <v>8</v>
      </c>
      <c r="P45" s="22">
        <v>1457</v>
      </c>
      <c r="Q45" s="23">
        <v>0</v>
      </c>
      <c r="R45" s="23">
        <v>1318</v>
      </c>
      <c r="S45" s="23">
        <v>0</v>
      </c>
      <c r="T45" s="11">
        <f t="shared" ref="T45:T54" si="13">P45+R45</f>
        <v>2775</v>
      </c>
      <c r="U45" s="11">
        <v>4</v>
      </c>
      <c r="V45" s="11">
        <f t="shared" ref="V45:V54" si="14">P45-R45</f>
        <v>139</v>
      </c>
      <c r="W45" s="11">
        <v>3</v>
      </c>
      <c r="X45" s="9">
        <f t="shared" ref="X45:X54" si="15">V45/T45</f>
        <v>5.0090090090090092E-2</v>
      </c>
      <c r="Y45" s="57">
        <f>X45</f>
        <v>5.0090090090090092E-2</v>
      </c>
      <c r="Z45" s="9" t="str">
        <f t="shared" ref="Z45:Z55" si="16">IF(X45&lt;0.05,"Spherical","Non Spherical")</f>
        <v>Non Spherical</v>
      </c>
    </row>
    <row r="46" spans="1:26" ht="15.75" customHeight="1" x14ac:dyDescent="0.35">
      <c r="A46" s="1"/>
      <c r="B46" s="11" t="s">
        <v>10</v>
      </c>
      <c r="C46" s="24">
        <v>1824</v>
      </c>
      <c r="D46" s="23">
        <v>0</v>
      </c>
      <c r="E46" s="25">
        <v>1673</v>
      </c>
      <c r="F46" s="23">
        <v>0</v>
      </c>
      <c r="G46" s="11">
        <f>C46+E46</f>
        <v>3497</v>
      </c>
      <c r="H46" s="11">
        <v>4</v>
      </c>
      <c r="I46" s="11">
        <f>C46-E46</f>
        <v>151</v>
      </c>
      <c r="J46" s="11">
        <v>3</v>
      </c>
      <c r="K46" s="9">
        <f>I46/G46</f>
        <v>4.3179868458678869E-2</v>
      </c>
      <c r="L46" s="57">
        <f t="shared" ref="L46:L54" si="17">ROUND(K46,J46)</f>
        <v>4.2999999999999997E-2</v>
      </c>
      <c r="M46" s="9" t="str">
        <f t="shared" si="12"/>
        <v>Spherical</v>
      </c>
      <c r="O46" s="11" t="s">
        <v>10</v>
      </c>
      <c r="P46" s="24">
        <v>1411</v>
      </c>
      <c r="Q46" s="23">
        <v>0</v>
      </c>
      <c r="R46" s="25">
        <v>1327</v>
      </c>
      <c r="S46" s="23">
        <v>0</v>
      </c>
      <c r="T46" s="11">
        <f t="shared" si="13"/>
        <v>2738</v>
      </c>
      <c r="U46" s="11">
        <v>4</v>
      </c>
      <c r="V46" s="11">
        <f t="shared" si="14"/>
        <v>84</v>
      </c>
      <c r="W46" s="11">
        <v>2</v>
      </c>
      <c r="X46" s="9">
        <f t="shared" si="15"/>
        <v>3.0679327976625273E-2</v>
      </c>
      <c r="Y46" s="58">
        <f t="shared" ref="Y46:Y54" si="18">X46</f>
        <v>3.0679327976625273E-2</v>
      </c>
      <c r="Z46" s="9" t="str">
        <f t="shared" si="16"/>
        <v>Spherical</v>
      </c>
    </row>
    <row r="47" spans="1:26" ht="15.75" customHeight="1" x14ac:dyDescent="0.35">
      <c r="A47" s="1"/>
      <c r="B47" s="11" t="s">
        <v>12</v>
      </c>
      <c r="C47" s="24">
        <v>1875</v>
      </c>
      <c r="D47" s="23">
        <v>0</v>
      </c>
      <c r="E47" s="25">
        <v>1615</v>
      </c>
      <c r="F47" s="23">
        <v>0</v>
      </c>
      <c r="G47" s="11">
        <f>C47+E47</f>
        <v>3490</v>
      </c>
      <c r="H47" s="11">
        <v>4</v>
      </c>
      <c r="I47" s="11">
        <f>C47-E47</f>
        <v>260</v>
      </c>
      <c r="J47" s="11">
        <v>3</v>
      </c>
      <c r="K47" s="9">
        <f>I47/G47</f>
        <v>7.4498567335243557E-2</v>
      </c>
      <c r="L47" s="57">
        <f t="shared" si="17"/>
        <v>7.3999999999999996E-2</v>
      </c>
      <c r="M47" s="9" t="str">
        <f t="shared" si="12"/>
        <v>Non Spherical</v>
      </c>
      <c r="O47" s="11" t="s">
        <v>12</v>
      </c>
      <c r="P47" s="24">
        <v>1435</v>
      </c>
      <c r="Q47" s="23">
        <v>0</v>
      </c>
      <c r="R47" s="25">
        <v>1377</v>
      </c>
      <c r="S47" s="23">
        <v>0</v>
      </c>
      <c r="T47" s="11">
        <f t="shared" si="13"/>
        <v>2812</v>
      </c>
      <c r="U47" s="11">
        <v>4</v>
      </c>
      <c r="V47" s="11">
        <f t="shared" si="14"/>
        <v>58</v>
      </c>
      <c r="W47" s="11">
        <v>2</v>
      </c>
      <c r="X47" s="9">
        <f t="shared" si="15"/>
        <v>2.0625889046941678E-2</v>
      </c>
      <c r="Y47" s="58">
        <f t="shared" si="18"/>
        <v>2.0625889046941678E-2</v>
      </c>
      <c r="Z47" s="9" t="str">
        <f t="shared" si="16"/>
        <v>Spherical</v>
      </c>
    </row>
    <row r="48" spans="1:26" ht="15.75" customHeight="1" x14ac:dyDescent="0.35">
      <c r="A48" s="1"/>
      <c r="B48" s="11" t="s">
        <v>13</v>
      </c>
      <c r="C48" s="24">
        <v>1769</v>
      </c>
      <c r="D48" s="23">
        <v>0</v>
      </c>
      <c r="E48" s="25">
        <v>1637</v>
      </c>
      <c r="F48" s="23">
        <v>0</v>
      </c>
      <c r="G48" s="11">
        <f>C48+E48</f>
        <v>3406</v>
      </c>
      <c r="H48" s="11">
        <v>4</v>
      </c>
      <c r="I48" s="11">
        <f>C48-E48</f>
        <v>132</v>
      </c>
      <c r="J48" s="11">
        <v>3</v>
      </c>
      <c r="K48" s="9">
        <f>I48/G48</f>
        <v>3.8755137991779216E-2</v>
      </c>
      <c r="L48" s="57">
        <f t="shared" si="17"/>
        <v>3.9E-2</v>
      </c>
      <c r="M48" s="9" t="str">
        <f t="shared" si="12"/>
        <v>Spherical</v>
      </c>
      <c r="O48" s="11" t="s">
        <v>13</v>
      </c>
      <c r="P48" s="24">
        <v>1344</v>
      </c>
      <c r="Q48" s="23">
        <v>0</v>
      </c>
      <c r="R48" s="25">
        <v>1251</v>
      </c>
      <c r="S48" s="23">
        <v>0</v>
      </c>
      <c r="T48" s="11">
        <f t="shared" si="13"/>
        <v>2595</v>
      </c>
      <c r="U48" s="11">
        <v>4</v>
      </c>
      <c r="V48" s="11">
        <f t="shared" si="14"/>
        <v>93</v>
      </c>
      <c r="W48" s="11">
        <v>2</v>
      </c>
      <c r="X48" s="9">
        <f t="shared" si="15"/>
        <v>3.5838150289017344E-2</v>
      </c>
      <c r="Y48" s="58">
        <f t="shared" si="18"/>
        <v>3.5838150289017344E-2</v>
      </c>
      <c r="Z48" s="9" t="str">
        <f t="shared" si="16"/>
        <v>Spherical</v>
      </c>
    </row>
    <row r="49" spans="1:26" ht="15.75" customHeight="1" x14ac:dyDescent="0.35">
      <c r="A49" s="1"/>
      <c r="B49" s="11" t="s">
        <v>14</v>
      </c>
      <c r="C49" s="24">
        <v>1728</v>
      </c>
      <c r="D49" s="23">
        <v>0</v>
      </c>
      <c r="E49" s="25">
        <v>1612</v>
      </c>
      <c r="F49" s="23">
        <v>0</v>
      </c>
      <c r="G49" s="11">
        <f>C49+E49</f>
        <v>3340</v>
      </c>
      <c r="H49" s="11">
        <v>4</v>
      </c>
      <c r="I49" s="11">
        <f>C49-E49</f>
        <v>116</v>
      </c>
      <c r="J49" s="11">
        <v>3</v>
      </c>
      <c r="K49" s="9">
        <f>I49/G49</f>
        <v>3.473053892215569E-2</v>
      </c>
      <c r="L49" s="57">
        <f t="shared" si="17"/>
        <v>3.5000000000000003E-2</v>
      </c>
      <c r="M49" s="9" t="str">
        <f t="shared" si="12"/>
        <v>Spherical</v>
      </c>
      <c r="O49" s="11" t="s">
        <v>14</v>
      </c>
      <c r="P49" s="24">
        <v>1453</v>
      </c>
      <c r="Q49" s="23">
        <v>0</v>
      </c>
      <c r="R49" s="25">
        <v>1315</v>
      </c>
      <c r="S49" s="23">
        <v>0</v>
      </c>
      <c r="T49" s="11">
        <f t="shared" si="13"/>
        <v>2768</v>
      </c>
      <c r="U49" s="11">
        <v>4</v>
      </c>
      <c r="V49" s="11">
        <f t="shared" si="14"/>
        <v>138</v>
      </c>
      <c r="W49" s="11">
        <v>3</v>
      </c>
      <c r="X49" s="9">
        <f t="shared" si="15"/>
        <v>4.9855491329479772E-2</v>
      </c>
      <c r="Y49" s="57">
        <f t="shared" si="18"/>
        <v>4.9855491329479772E-2</v>
      </c>
      <c r="Z49" s="9" t="str">
        <f t="shared" si="16"/>
        <v>Spherical</v>
      </c>
    </row>
    <row r="50" spans="1:26" ht="15.75" customHeight="1" x14ac:dyDescent="0.35">
      <c r="A50" s="1"/>
      <c r="B50" s="11" t="s">
        <v>15</v>
      </c>
      <c r="C50" s="24">
        <v>1542</v>
      </c>
      <c r="D50" s="23">
        <v>0</v>
      </c>
      <c r="E50" s="25">
        <v>1365</v>
      </c>
      <c r="F50" s="23">
        <v>0</v>
      </c>
      <c r="G50" s="11">
        <f>C50+E50</f>
        <v>2907</v>
      </c>
      <c r="H50" s="11">
        <v>4</v>
      </c>
      <c r="I50" s="11">
        <f>C50-E50</f>
        <v>177</v>
      </c>
      <c r="J50" s="11">
        <v>3</v>
      </c>
      <c r="K50" s="9">
        <f>I50/G50</f>
        <v>6.0887512899896801E-2</v>
      </c>
      <c r="L50" s="57">
        <f t="shared" si="17"/>
        <v>6.0999999999999999E-2</v>
      </c>
      <c r="M50" s="9" t="str">
        <f t="shared" si="12"/>
        <v>Non Spherical</v>
      </c>
      <c r="O50" s="11" t="s">
        <v>15</v>
      </c>
      <c r="P50" s="24">
        <v>1415</v>
      </c>
      <c r="Q50" s="23">
        <v>0</v>
      </c>
      <c r="R50" s="25">
        <v>1313</v>
      </c>
      <c r="S50" s="23">
        <v>0</v>
      </c>
      <c r="T50" s="11">
        <f t="shared" si="13"/>
        <v>2728</v>
      </c>
      <c r="U50" s="11">
        <v>4</v>
      </c>
      <c r="V50" s="11">
        <f t="shared" si="14"/>
        <v>102</v>
      </c>
      <c r="W50" s="11">
        <v>3</v>
      </c>
      <c r="X50" s="9">
        <f t="shared" si="15"/>
        <v>3.7390029325513198E-2</v>
      </c>
      <c r="Y50" s="57">
        <f t="shared" si="18"/>
        <v>3.7390029325513198E-2</v>
      </c>
      <c r="Z50" s="9" t="str">
        <f t="shared" si="16"/>
        <v>Spherical</v>
      </c>
    </row>
    <row r="51" spans="1:26" ht="15.75" customHeight="1" x14ac:dyDescent="0.35">
      <c r="A51" s="1"/>
      <c r="B51" s="11" t="s">
        <v>16</v>
      </c>
      <c r="C51" s="24">
        <v>1634</v>
      </c>
      <c r="D51" s="23">
        <v>0</v>
      </c>
      <c r="E51" s="25">
        <v>1445</v>
      </c>
      <c r="F51" s="23">
        <v>0</v>
      </c>
      <c r="G51" s="11">
        <f>C51+E51</f>
        <v>3079</v>
      </c>
      <c r="H51" s="11">
        <v>4</v>
      </c>
      <c r="I51" s="11">
        <f>C51-E51</f>
        <v>189</v>
      </c>
      <c r="J51" s="11">
        <v>3</v>
      </c>
      <c r="K51" s="9">
        <f>I51/G51</f>
        <v>6.1383566092887303E-2</v>
      </c>
      <c r="L51" s="57">
        <f t="shared" si="17"/>
        <v>6.0999999999999999E-2</v>
      </c>
      <c r="M51" s="9" t="str">
        <f t="shared" si="12"/>
        <v>Non Spherical</v>
      </c>
      <c r="O51" s="11" t="s">
        <v>16</v>
      </c>
      <c r="P51" s="24">
        <v>1334</v>
      </c>
      <c r="Q51" s="23">
        <v>0</v>
      </c>
      <c r="R51" s="25">
        <v>1293</v>
      </c>
      <c r="S51" s="23">
        <v>0</v>
      </c>
      <c r="T51" s="11">
        <f t="shared" si="13"/>
        <v>2627</v>
      </c>
      <c r="U51" s="11">
        <v>4</v>
      </c>
      <c r="V51" s="11">
        <f t="shared" si="14"/>
        <v>41</v>
      </c>
      <c r="W51" s="11">
        <v>2</v>
      </c>
      <c r="X51" s="9">
        <f t="shared" si="15"/>
        <v>1.5607156452226875E-2</v>
      </c>
      <c r="Y51" s="58">
        <f t="shared" si="18"/>
        <v>1.5607156452226875E-2</v>
      </c>
      <c r="Z51" s="9" t="str">
        <f t="shared" si="16"/>
        <v>Spherical</v>
      </c>
    </row>
    <row r="52" spans="1:26" ht="15.75" customHeight="1" x14ac:dyDescent="0.35">
      <c r="A52" s="1"/>
      <c r="B52" s="11" t="s">
        <v>17</v>
      </c>
      <c r="C52" s="24">
        <v>1395</v>
      </c>
      <c r="D52" s="23">
        <v>0</v>
      </c>
      <c r="E52" s="25">
        <v>1358</v>
      </c>
      <c r="F52" s="23">
        <v>0</v>
      </c>
      <c r="G52" s="11">
        <f>C52+E52</f>
        <v>2753</v>
      </c>
      <c r="H52" s="11">
        <v>4</v>
      </c>
      <c r="I52" s="11">
        <f>C52-E52</f>
        <v>37</v>
      </c>
      <c r="J52" s="11">
        <v>2</v>
      </c>
      <c r="K52" s="9">
        <f>I52/G52</f>
        <v>1.3439883763167454E-2</v>
      </c>
      <c r="L52" s="58">
        <f t="shared" si="17"/>
        <v>0.01</v>
      </c>
      <c r="M52" s="9" t="str">
        <f t="shared" si="12"/>
        <v>Spherical</v>
      </c>
      <c r="O52" s="11" t="s">
        <v>17</v>
      </c>
      <c r="P52" s="24">
        <v>1313</v>
      </c>
      <c r="Q52" s="23">
        <v>0</v>
      </c>
      <c r="R52" s="25">
        <v>1243</v>
      </c>
      <c r="S52" s="23">
        <v>0</v>
      </c>
      <c r="T52" s="11">
        <f t="shared" si="13"/>
        <v>2556</v>
      </c>
      <c r="U52" s="11">
        <v>4</v>
      </c>
      <c r="V52" s="11">
        <f t="shared" si="14"/>
        <v>70</v>
      </c>
      <c r="W52" s="11">
        <v>2</v>
      </c>
      <c r="X52" s="9">
        <f t="shared" si="15"/>
        <v>2.7386541471048513E-2</v>
      </c>
      <c r="Y52" s="58">
        <f t="shared" si="18"/>
        <v>2.7386541471048513E-2</v>
      </c>
      <c r="Z52" s="9" t="str">
        <f t="shared" si="16"/>
        <v>Spherical</v>
      </c>
    </row>
    <row r="53" spans="1:26" ht="15.75" customHeight="1" x14ac:dyDescent="0.35">
      <c r="A53" s="1"/>
      <c r="B53" s="11" t="s">
        <v>18</v>
      </c>
      <c r="C53" s="24">
        <v>1562</v>
      </c>
      <c r="D53" s="23">
        <v>0</v>
      </c>
      <c r="E53" s="25">
        <v>1407</v>
      </c>
      <c r="F53" s="23">
        <v>0</v>
      </c>
      <c r="G53" s="11">
        <f>C53+E53</f>
        <v>2969</v>
      </c>
      <c r="H53" s="11">
        <v>4</v>
      </c>
      <c r="I53" s="11">
        <f>C53-E53</f>
        <v>155</v>
      </c>
      <c r="J53" s="11">
        <v>3</v>
      </c>
      <c r="K53" s="9">
        <f>I53/G53</f>
        <v>5.2206130010104414E-2</v>
      </c>
      <c r="L53" s="57">
        <f t="shared" si="17"/>
        <v>5.1999999999999998E-2</v>
      </c>
      <c r="M53" s="9" t="str">
        <f t="shared" si="12"/>
        <v>Non Spherical</v>
      </c>
      <c r="O53" s="11" t="s">
        <v>18</v>
      </c>
      <c r="P53" s="24">
        <v>1514</v>
      </c>
      <c r="Q53" s="23">
        <v>0</v>
      </c>
      <c r="R53" s="25">
        <v>1376</v>
      </c>
      <c r="S53" s="23">
        <v>0</v>
      </c>
      <c r="T53" s="11">
        <f t="shared" si="13"/>
        <v>2890</v>
      </c>
      <c r="U53" s="11">
        <v>4</v>
      </c>
      <c r="V53" s="11">
        <f t="shared" si="14"/>
        <v>138</v>
      </c>
      <c r="W53" s="11">
        <v>3</v>
      </c>
      <c r="X53" s="9">
        <f t="shared" si="15"/>
        <v>4.7750865051903117E-2</v>
      </c>
      <c r="Y53" s="57">
        <f t="shared" si="18"/>
        <v>4.7750865051903117E-2</v>
      </c>
      <c r="Z53" s="9" t="str">
        <f t="shared" si="16"/>
        <v>Spherical</v>
      </c>
    </row>
    <row r="54" spans="1:26" ht="15.75" customHeight="1" x14ac:dyDescent="0.35">
      <c r="A54" s="1"/>
      <c r="B54" s="11" t="s">
        <v>19</v>
      </c>
      <c r="C54" s="24">
        <v>1424</v>
      </c>
      <c r="D54" s="23">
        <v>0</v>
      </c>
      <c r="E54" s="25">
        <v>1329</v>
      </c>
      <c r="F54" s="23">
        <v>0</v>
      </c>
      <c r="G54" s="11">
        <f>C54+E54</f>
        <v>2753</v>
      </c>
      <c r="H54" s="11">
        <v>4</v>
      </c>
      <c r="I54" s="11">
        <f>C54-E54</f>
        <v>95</v>
      </c>
      <c r="J54" s="11">
        <v>2</v>
      </c>
      <c r="K54" s="9">
        <f>I54/G54</f>
        <v>3.4507809662186709E-2</v>
      </c>
      <c r="L54" s="58">
        <f t="shared" si="17"/>
        <v>0.03</v>
      </c>
      <c r="M54" s="9" t="str">
        <f t="shared" si="12"/>
        <v>Spherical</v>
      </c>
      <c r="O54" s="11" t="s">
        <v>19</v>
      </c>
      <c r="P54" s="24">
        <v>1551</v>
      </c>
      <c r="Q54" s="23">
        <v>0</v>
      </c>
      <c r="R54" s="25">
        <v>1365</v>
      </c>
      <c r="S54" s="23">
        <v>0</v>
      </c>
      <c r="T54" s="11">
        <f t="shared" si="13"/>
        <v>2916</v>
      </c>
      <c r="U54" s="11">
        <v>4</v>
      </c>
      <c r="V54" s="11">
        <f t="shared" si="14"/>
        <v>186</v>
      </c>
      <c r="W54" s="11">
        <v>3</v>
      </c>
      <c r="X54" s="9">
        <f t="shared" si="15"/>
        <v>6.3786008230452676E-2</v>
      </c>
      <c r="Y54" s="57">
        <f t="shared" si="18"/>
        <v>6.3786008230452676E-2</v>
      </c>
      <c r="Z54" s="9" t="str">
        <f t="shared" si="16"/>
        <v>Non Spherical</v>
      </c>
    </row>
    <row r="55" spans="1:26" ht="15.75" customHeight="1" x14ac:dyDescent="0.35">
      <c r="A55" s="21"/>
      <c r="B55" s="26" t="s">
        <v>20</v>
      </c>
      <c r="C55" s="27">
        <f t="shared" ref="C55:K55" si="19">AVERAGE(C45:C54)</f>
        <v>1652.1</v>
      </c>
      <c r="D55" s="27"/>
      <c r="E55" s="27">
        <f t="shared" si="19"/>
        <v>1499</v>
      </c>
      <c r="F55" s="27"/>
      <c r="G55" s="26">
        <f t="shared" si="19"/>
        <v>3151.1</v>
      </c>
      <c r="H55" s="26"/>
      <c r="I55" s="26">
        <f t="shared" si="19"/>
        <v>153.1</v>
      </c>
      <c r="J55" s="26"/>
      <c r="K55" s="26">
        <f t="shared" si="19"/>
        <v>4.7961253036070059E-2</v>
      </c>
      <c r="L55" s="26"/>
      <c r="M55" s="27" t="str">
        <f t="shared" si="12"/>
        <v>Spherical</v>
      </c>
      <c r="O55" s="26" t="s">
        <v>20</v>
      </c>
      <c r="P55" s="26">
        <f t="shared" ref="P55:X55" si="20">AVERAGE(P45:P54)</f>
        <v>1422.7</v>
      </c>
      <c r="Q55" s="26"/>
      <c r="R55" s="26">
        <f t="shared" si="20"/>
        <v>1317.8</v>
      </c>
      <c r="S55" s="26"/>
      <c r="T55" s="26">
        <f t="shared" si="20"/>
        <v>2740.5</v>
      </c>
      <c r="U55" s="26"/>
      <c r="V55" s="26">
        <f t="shared" si="20"/>
        <v>104.9</v>
      </c>
      <c r="W55" s="26"/>
      <c r="X55" s="26">
        <f t="shared" si="20"/>
        <v>3.7900954926329854E-2</v>
      </c>
      <c r="Y55" s="26"/>
      <c r="Z55" s="12" t="str">
        <f t="shared" si="16"/>
        <v>Spherical</v>
      </c>
    </row>
    <row r="56" spans="1:26" ht="15.75" customHeight="1" x14ac:dyDescent="0.35">
      <c r="A56" s="21"/>
      <c r="B56" s="15" t="s">
        <v>21</v>
      </c>
      <c r="C56" s="19">
        <f>AVERAGE(C55:E55)</f>
        <v>1575.55</v>
      </c>
      <c r="D56" s="32"/>
      <c r="E56" s="8"/>
      <c r="F56" s="33"/>
      <c r="K56" s="1"/>
      <c r="L56" s="1"/>
      <c r="O56" s="15" t="s">
        <v>21</v>
      </c>
      <c r="P56" s="19">
        <f>AVERAGE(P55:R55)</f>
        <v>1370.25</v>
      </c>
      <c r="Q56" s="32"/>
      <c r="R56" s="8"/>
      <c r="S56" s="33"/>
      <c r="X56" s="1"/>
      <c r="Y56" s="1"/>
    </row>
    <row r="57" spans="1:26" ht="15.75" customHeight="1" x14ac:dyDescent="0.35">
      <c r="B57" s="20" t="s">
        <v>22</v>
      </c>
      <c r="C57" s="51">
        <f>STDEV(L45:L54)</f>
        <v>1.9404753140518042E-2</v>
      </c>
      <c r="D57" s="52"/>
      <c r="E57" s="53"/>
      <c r="F57" s="33"/>
      <c r="K57" s="1"/>
      <c r="L57" s="1"/>
      <c r="O57" s="20" t="s">
        <v>22</v>
      </c>
      <c r="P57" s="48">
        <f>STDEV(Y45:Y54)</f>
        <v>1.498593791335179E-2</v>
      </c>
      <c r="Q57" s="49"/>
      <c r="R57" s="50"/>
      <c r="S57" s="33"/>
    </row>
    <row r="58" spans="1:26" ht="15.75" customHeight="1" x14ac:dyDescent="0.35">
      <c r="B58" s="28"/>
      <c r="C58" s="5"/>
      <c r="D58" s="5"/>
      <c r="E58" s="5"/>
      <c r="F58" s="5"/>
      <c r="G58" s="5"/>
      <c r="H58" s="5"/>
      <c r="I58" s="5"/>
      <c r="J58" s="5"/>
      <c r="K58" s="5"/>
      <c r="M58" s="2"/>
      <c r="O58" s="28"/>
      <c r="P58" s="5"/>
      <c r="Q58" s="5"/>
      <c r="R58" s="5"/>
      <c r="S58" s="5"/>
      <c r="T58" s="5"/>
    </row>
    <row r="59" spans="1:26" ht="15.75" customHeight="1" x14ac:dyDescent="0.35"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P59" s="29"/>
      <c r="Q59" s="29"/>
      <c r="R59" s="29"/>
      <c r="S59" s="29"/>
      <c r="T59" s="29"/>
      <c r="U59" s="29"/>
    </row>
    <row r="60" spans="1:26" ht="15.75" customHeight="1" x14ac:dyDescent="0.35">
      <c r="A60" s="1"/>
      <c r="B60" s="6" t="s">
        <v>27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  <c r="O60" s="6" t="s">
        <v>28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spans="1:26" ht="15.75" customHeight="1" x14ac:dyDescent="0.35">
      <c r="A61" s="1"/>
      <c r="B61" s="9"/>
      <c r="C61" s="10" t="s">
        <v>2</v>
      </c>
      <c r="D61" s="10" t="s">
        <v>30</v>
      </c>
      <c r="E61" s="10" t="s">
        <v>3</v>
      </c>
      <c r="F61" s="10" t="s">
        <v>30</v>
      </c>
      <c r="G61" s="10" t="s">
        <v>4</v>
      </c>
      <c r="H61" s="10" t="s">
        <v>29</v>
      </c>
      <c r="I61" s="10" t="s">
        <v>5</v>
      </c>
      <c r="J61" s="10" t="s">
        <v>29</v>
      </c>
      <c r="K61" s="10" t="s">
        <v>6</v>
      </c>
      <c r="L61" s="10" t="s">
        <v>31</v>
      </c>
      <c r="M61" s="10" t="s">
        <v>7</v>
      </c>
      <c r="O61" s="9"/>
      <c r="P61" s="10" t="s">
        <v>2</v>
      </c>
      <c r="Q61" s="10" t="s">
        <v>30</v>
      </c>
      <c r="R61" s="10" t="s">
        <v>3</v>
      </c>
      <c r="S61" s="10" t="s">
        <v>30</v>
      </c>
      <c r="T61" s="10" t="s">
        <v>4</v>
      </c>
      <c r="U61" s="10" t="s">
        <v>29</v>
      </c>
      <c r="V61" s="10" t="s">
        <v>5</v>
      </c>
      <c r="W61" s="10" t="s">
        <v>29</v>
      </c>
      <c r="X61" s="10" t="s">
        <v>6</v>
      </c>
      <c r="Y61" s="10" t="s">
        <v>31</v>
      </c>
      <c r="Z61" s="10" t="s">
        <v>7</v>
      </c>
    </row>
    <row r="62" spans="1:26" ht="15.75" customHeight="1" x14ac:dyDescent="0.35">
      <c r="A62" s="1"/>
      <c r="B62" s="11" t="s">
        <v>8</v>
      </c>
      <c r="C62" s="22">
        <v>1479</v>
      </c>
      <c r="D62" s="23">
        <v>0</v>
      </c>
      <c r="E62" s="23">
        <v>1329</v>
      </c>
      <c r="F62" s="23">
        <v>0</v>
      </c>
      <c r="G62" s="11">
        <f>C62+E62</f>
        <v>2808</v>
      </c>
      <c r="H62" s="11">
        <v>4</v>
      </c>
      <c r="I62" s="11">
        <f>C62-E62</f>
        <v>150</v>
      </c>
      <c r="J62" s="11">
        <v>3</v>
      </c>
      <c r="K62" s="9">
        <f>I62/G62</f>
        <v>5.3418803418803416E-2</v>
      </c>
      <c r="L62" s="57">
        <f>K62</f>
        <v>5.3418803418803416E-2</v>
      </c>
      <c r="M62" s="9" t="str">
        <f t="shared" ref="M62:M72" si="21">IF(K62&lt;0.05,"Spherical","Non Spherical")</f>
        <v>Non Spherical</v>
      </c>
      <c r="O62" s="11" t="s">
        <v>8</v>
      </c>
      <c r="P62" s="22">
        <v>1661</v>
      </c>
      <c r="Q62" s="23">
        <v>0</v>
      </c>
      <c r="R62" s="23">
        <v>1378</v>
      </c>
      <c r="S62" s="23">
        <v>0</v>
      </c>
      <c r="T62" s="11">
        <f t="shared" ref="T62:T71" si="22">P62+R62</f>
        <v>3039</v>
      </c>
      <c r="U62" s="11">
        <v>4</v>
      </c>
      <c r="V62" s="11">
        <f t="shared" ref="V62:V71" si="23">P62-R62</f>
        <v>283</v>
      </c>
      <c r="W62" s="11">
        <v>3</v>
      </c>
      <c r="X62" s="9">
        <f t="shared" ref="X62:X71" si="24">V62/T62</f>
        <v>9.3122737742678513E-2</v>
      </c>
      <c r="Y62" s="57">
        <f>X62</f>
        <v>9.3122737742678513E-2</v>
      </c>
      <c r="Z62" s="9" t="str">
        <f t="shared" ref="Z62:Z72" si="25">IF(X62&lt;0.05,"Spherical","Non Spherical")</f>
        <v>Non Spherical</v>
      </c>
    </row>
    <row r="63" spans="1:26" ht="15.75" customHeight="1" x14ac:dyDescent="0.35">
      <c r="A63" s="1"/>
      <c r="B63" s="11" t="s">
        <v>10</v>
      </c>
      <c r="C63" s="24">
        <v>1446</v>
      </c>
      <c r="D63" s="23">
        <v>0</v>
      </c>
      <c r="E63" s="25">
        <v>1269</v>
      </c>
      <c r="F63" s="23">
        <v>0</v>
      </c>
      <c r="G63" s="11">
        <f>C63+E63</f>
        <v>2715</v>
      </c>
      <c r="H63" s="11">
        <v>4</v>
      </c>
      <c r="I63" s="11">
        <f>C63-E63</f>
        <v>177</v>
      </c>
      <c r="J63" s="11">
        <v>3</v>
      </c>
      <c r="K63" s="9">
        <f>I63/G63</f>
        <v>6.5193370165745862E-2</v>
      </c>
      <c r="L63" s="57">
        <f t="shared" ref="L63:L71" si="26">K63</f>
        <v>6.5193370165745862E-2</v>
      </c>
      <c r="M63" s="9" t="str">
        <f t="shared" si="21"/>
        <v>Non Spherical</v>
      </c>
      <c r="O63" s="11" t="s">
        <v>10</v>
      </c>
      <c r="P63" s="24">
        <v>1635</v>
      </c>
      <c r="Q63" s="23">
        <v>0</v>
      </c>
      <c r="R63" s="25">
        <v>1331</v>
      </c>
      <c r="S63" s="23">
        <v>0</v>
      </c>
      <c r="T63" s="11">
        <f t="shared" si="22"/>
        <v>2966</v>
      </c>
      <c r="U63" s="11">
        <v>4</v>
      </c>
      <c r="V63" s="11">
        <f t="shared" si="23"/>
        <v>304</v>
      </c>
      <c r="W63" s="11">
        <v>3</v>
      </c>
      <c r="X63" s="9">
        <f t="shared" si="24"/>
        <v>0.10249494268374916</v>
      </c>
      <c r="Y63" s="58">
        <f t="shared" ref="Y63:Y71" si="27">X63</f>
        <v>0.10249494268374916</v>
      </c>
      <c r="Z63" s="9" t="str">
        <f t="shared" si="25"/>
        <v>Non Spherical</v>
      </c>
    </row>
    <row r="64" spans="1:26" ht="15.75" customHeight="1" x14ac:dyDescent="0.35">
      <c r="A64" s="1"/>
      <c r="B64" s="11" t="s">
        <v>12</v>
      </c>
      <c r="C64" s="24">
        <v>1724</v>
      </c>
      <c r="D64" s="23">
        <v>0</v>
      </c>
      <c r="E64" s="25">
        <v>1424</v>
      </c>
      <c r="F64" s="23">
        <v>0</v>
      </c>
      <c r="G64" s="11">
        <f>C64+E64</f>
        <v>3148</v>
      </c>
      <c r="H64" s="11">
        <v>4</v>
      </c>
      <c r="I64" s="11">
        <f>C64-E64</f>
        <v>300</v>
      </c>
      <c r="J64" s="11">
        <v>3</v>
      </c>
      <c r="K64" s="9">
        <f>I64/G64</f>
        <v>9.5298602287166453E-2</v>
      </c>
      <c r="L64" s="57">
        <f t="shared" si="26"/>
        <v>9.5298602287166453E-2</v>
      </c>
      <c r="M64" s="9" t="str">
        <f t="shared" si="21"/>
        <v>Non Spherical</v>
      </c>
      <c r="O64" s="11" t="s">
        <v>12</v>
      </c>
      <c r="P64" s="24">
        <v>1577</v>
      </c>
      <c r="Q64" s="23">
        <v>0</v>
      </c>
      <c r="R64" s="25">
        <v>1279</v>
      </c>
      <c r="S64" s="23">
        <v>0</v>
      </c>
      <c r="T64" s="11">
        <f t="shared" si="22"/>
        <v>2856</v>
      </c>
      <c r="U64" s="11">
        <v>4</v>
      </c>
      <c r="V64" s="11">
        <f t="shared" si="23"/>
        <v>298</v>
      </c>
      <c r="W64" s="11">
        <v>3</v>
      </c>
      <c r="X64" s="9">
        <f t="shared" si="24"/>
        <v>0.10434173669467788</v>
      </c>
      <c r="Y64" s="58">
        <f t="shared" si="27"/>
        <v>0.10434173669467788</v>
      </c>
      <c r="Z64" s="9" t="str">
        <f t="shared" si="25"/>
        <v>Non Spherical</v>
      </c>
    </row>
    <row r="65" spans="1:26" ht="15.75" customHeight="1" x14ac:dyDescent="0.35">
      <c r="A65" s="1"/>
      <c r="B65" s="11" t="s">
        <v>13</v>
      </c>
      <c r="C65" s="24">
        <v>1519</v>
      </c>
      <c r="D65" s="23">
        <v>0</v>
      </c>
      <c r="E65" s="25">
        <v>1399</v>
      </c>
      <c r="F65" s="23">
        <v>0</v>
      </c>
      <c r="G65" s="11">
        <f>C65+E65</f>
        <v>2918</v>
      </c>
      <c r="H65" s="11">
        <v>4</v>
      </c>
      <c r="I65" s="11">
        <f>C65-E65</f>
        <v>120</v>
      </c>
      <c r="J65" s="11">
        <v>3</v>
      </c>
      <c r="K65" s="9">
        <f>I65/G65</f>
        <v>4.1124057573680602E-2</v>
      </c>
      <c r="L65" s="57">
        <f t="shared" si="26"/>
        <v>4.1124057573680602E-2</v>
      </c>
      <c r="M65" s="9" t="str">
        <f t="shared" si="21"/>
        <v>Spherical</v>
      </c>
      <c r="O65" s="11" t="s">
        <v>13</v>
      </c>
      <c r="P65" s="24">
        <v>1522</v>
      </c>
      <c r="Q65" s="23">
        <v>0</v>
      </c>
      <c r="R65" s="25">
        <v>1260</v>
      </c>
      <c r="S65" s="23">
        <v>0</v>
      </c>
      <c r="T65" s="11">
        <f t="shared" si="22"/>
        <v>2782</v>
      </c>
      <c r="U65" s="11">
        <v>4</v>
      </c>
      <c r="V65" s="11">
        <f t="shared" si="23"/>
        <v>262</v>
      </c>
      <c r="W65" s="11">
        <v>3</v>
      </c>
      <c r="X65" s="9">
        <f t="shared" si="24"/>
        <v>9.417685118619698E-2</v>
      </c>
      <c r="Y65" s="57">
        <f t="shared" si="27"/>
        <v>9.417685118619698E-2</v>
      </c>
      <c r="Z65" s="9" t="str">
        <f t="shared" si="25"/>
        <v>Non Spherical</v>
      </c>
    </row>
    <row r="66" spans="1:26" ht="15.75" customHeight="1" x14ac:dyDescent="0.35">
      <c r="A66" s="1"/>
      <c r="B66" s="11" t="s">
        <v>14</v>
      </c>
      <c r="C66" s="24">
        <v>1463</v>
      </c>
      <c r="D66" s="23">
        <v>0</v>
      </c>
      <c r="E66" s="25">
        <v>1383</v>
      </c>
      <c r="F66" s="23">
        <v>0</v>
      </c>
      <c r="G66" s="11">
        <f>C66+E66</f>
        <v>2846</v>
      </c>
      <c r="H66" s="11">
        <v>4</v>
      </c>
      <c r="I66" s="11">
        <f>C66-E66</f>
        <v>80</v>
      </c>
      <c r="J66" s="11">
        <v>2</v>
      </c>
      <c r="K66" s="9">
        <f>I66/G66</f>
        <v>2.8109627547434995E-2</v>
      </c>
      <c r="L66" s="58">
        <f t="shared" si="26"/>
        <v>2.8109627547434995E-2</v>
      </c>
      <c r="M66" s="9" t="str">
        <f t="shared" si="21"/>
        <v>Spherical</v>
      </c>
      <c r="O66" s="11" t="s">
        <v>14</v>
      </c>
      <c r="P66" s="24">
        <v>1649</v>
      </c>
      <c r="Q66" s="23">
        <v>0</v>
      </c>
      <c r="R66" s="25">
        <v>1346</v>
      </c>
      <c r="S66" s="23">
        <v>0</v>
      </c>
      <c r="T66" s="11">
        <f t="shared" si="22"/>
        <v>2995</v>
      </c>
      <c r="U66" s="11">
        <v>4</v>
      </c>
      <c r="V66" s="11">
        <f t="shared" si="23"/>
        <v>303</v>
      </c>
      <c r="W66" s="11">
        <v>3</v>
      </c>
      <c r="X66" s="9">
        <f t="shared" si="24"/>
        <v>0.1011686143572621</v>
      </c>
      <c r="Y66" s="58">
        <f t="shared" si="27"/>
        <v>0.1011686143572621</v>
      </c>
      <c r="Z66" s="9" t="str">
        <f t="shared" si="25"/>
        <v>Non Spherical</v>
      </c>
    </row>
    <row r="67" spans="1:26" ht="15.75" customHeight="1" x14ac:dyDescent="0.35">
      <c r="A67" s="1"/>
      <c r="B67" s="11" t="s">
        <v>15</v>
      </c>
      <c r="C67" s="24">
        <v>1509</v>
      </c>
      <c r="D67" s="23">
        <v>0</v>
      </c>
      <c r="E67" s="25">
        <v>1329</v>
      </c>
      <c r="F67" s="23">
        <v>0</v>
      </c>
      <c r="G67" s="11">
        <f>C67+E67</f>
        <v>2838</v>
      </c>
      <c r="H67" s="11">
        <v>4</v>
      </c>
      <c r="I67" s="11">
        <f>C67-E67</f>
        <v>180</v>
      </c>
      <c r="J67" s="11">
        <v>3</v>
      </c>
      <c r="K67" s="9">
        <f>I67/G67</f>
        <v>6.3424947145877375E-2</v>
      </c>
      <c r="L67" s="57">
        <f t="shared" si="26"/>
        <v>6.3424947145877375E-2</v>
      </c>
      <c r="M67" s="9" t="str">
        <f t="shared" si="21"/>
        <v>Non Spherical</v>
      </c>
      <c r="O67" s="11" t="s">
        <v>15</v>
      </c>
      <c r="P67" s="24">
        <v>1541</v>
      </c>
      <c r="Q67" s="23">
        <v>0</v>
      </c>
      <c r="R67" s="25">
        <v>1248</v>
      </c>
      <c r="S67" s="23">
        <v>0</v>
      </c>
      <c r="T67" s="11">
        <f t="shared" si="22"/>
        <v>2789</v>
      </c>
      <c r="U67" s="11">
        <v>4</v>
      </c>
      <c r="V67" s="11">
        <f t="shared" si="23"/>
        <v>293</v>
      </c>
      <c r="W67" s="11">
        <v>3</v>
      </c>
      <c r="X67" s="9">
        <f t="shared" si="24"/>
        <v>0.10505557547508067</v>
      </c>
      <c r="Y67" s="58">
        <f t="shared" si="27"/>
        <v>0.10505557547508067</v>
      </c>
      <c r="Z67" s="9" t="str">
        <f t="shared" si="25"/>
        <v>Non Spherical</v>
      </c>
    </row>
    <row r="68" spans="1:26" ht="15.75" customHeight="1" x14ac:dyDescent="0.35">
      <c r="A68" s="1"/>
      <c r="B68" s="11" t="s">
        <v>16</v>
      </c>
      <c r="C68" s="24">
        <v>1379</v>
      </c>
      <c r="D68" s="23">
        <v>0</v>
      </c>
      <c r="E68" s="25">
        <v>1134</v>
      </c>
      <c r="F68" s="23">
        <v>0</v>
      </c>
      <c r="G68" s="11">
        <f>C68+E68</f>
        <v>2513</v>
      </c>
      <c r="H68" s="11">
        <v>4</v>
      </c>
      <c r="I68" s="11">
        <f>C68-E68</f>
        <v>245</v>
      </c>
      <c r="J68" s="11">
        <v>3</v>
      </c>
      <c r="K68" s="9">
        <f>I68/G68</f>
        <v>9.7493036211699163E-2</v>
      </c>
      <c r="L68" s="57">
        <f t="shared" si="26"/>
        <v>9.7493036211699163E-2</v>
      </c>
      <c r="M68" s="9" t="str">
        <f t="shared" si="21"/>
        <v>Non Spherical</v>
      </c>
      <c r="O68" s="11" t="s">
        <v>16</v>
      </c>
      <c r="P68" s="24">
        <v>1661</v>
      </c>
      <c r="Q68" s="23">
        <v>0</v>
      </c>
      <c r="R68" s="25">
        <v>1396</v>
      </c>
      <c r="S68" s="23">
        <v>0</v>
      </c>
      <c r="T68" s="11">
        <f t="shared" si="22"/>
        <v>3057</v>
      </c>
      <c r="U68" s="11">
        <v>4</v>
      </c>
      <c r="V68" s="11">
        <f t="shared" si="23"/>
        <v>265</v>
      </c>
      <c r="W68" s="11">
        <v>3</v>
      </c>
      <c r="X68" s="9">
        <f t="shared" si="24"/>
        <v>8.6686293752044494E-2</v>
      </c>
      <c r="Y68" s="57">
        <f t="shared" si="27"/>
        <v>8.6686293752044494E-2</v>
      </c>
      <c r="Z68" s="9" t="str">
        <f t="shared" si="25"/>
        <v>Non Spherical</v>
      </c>
    </row>
    <row r="69" spans="1:26" ht="15.75" customHeight="1" x14ac:dyDescent="0.35">
      <c r="A69" s="1"/>
      <c r="B69" s="11" t="s">
        <v>17</v>
      </c>
      <c r="C69" s="24">
        <v>1734</v>
      </c>
      <c r="D69" s="23">
        <v>0</v>
      </c>
      <c r="E69" s="25">
        <v>1556</v>
      </c>
      <c r="F69" s="23">
        <v>0</v>
      </c>
      <c r="G69" s="11">
        <f>C69+E69</f>
        <v>3290</v>
      </c>
      <c r="H69" s="11">
        <v>4</v>
      </c>
      <c r="I69" s="11">
        <f>C69-E69</f>
        <v>178</v>
      </c>
      <c r="J69" s="11">
        <v>3</v>
      </c>
      <c r="K69" s="9">
        <f>I69/G69</f>
        <v>5.410334346504559E-2</v>
      </c>
      <c r="L69" s="57">
        <f t="shared" si="26"/>
        <v>5.410334346504559E-2</v>
      </c>
      <c r="M69" s="9" t="str">
        <f t="shared" si="21"/>
        <v>Non Spherical</v>
      </c>
      <c r="O69" s="11" t="s">
        <v>17</v>
      </c>
      <c r="P69" s="24">
        <v>1539</v>
      </c>
      <c r="Q69" s="23">
        <v>0</v>
      </c>
      <c r="R69" s="25">
        <v>1269</v>
      </c>
      <c r="S69" s="23">
        <v>0</v>
      </c>
      <c r="T69" s="11">
        <f t="shared" si="22"/>
        <v>2808</v>
      </c>
      <c r="U69" s="11">
        <v>4</v>
      </c>
      <c r="V69" s="11">
        <f t="shared" si="23"/>
        <v>270</v>
      </c>
      <c r="W69" s="11">
        <v>3</v>
      </c>
      <c r="X69" s="9">
        <f t="shared" si="24"/>
        <v>9.6153846153846159E-2</v>
      </c>
      <c r="Y69" s="57">
        <f t="shared" si="27"/>
        <v>9.6153846153846159E-2</v>
      </c>
      <c r="Z69" s="9" t="str">
        <f t="shared" si="25"/>
        <v>Non Spherical</v>
      </c>
    </row>
    <row r="70" spans="1:26" ht="15.75" customHeight="1" x14ac:dyDescent="0.35">
      <c r="A70" s="21"/>
      <c r="B70" s="11" t="s">
        <v>18</v>
      </c>
      <c r="C70" s="24">
        <v>1512</v>
      </c>
      <c r="D70" s="23">
        <v>0</v>
      </c>
      <c r="E70" s="25">
        <v>1414</v>
      </c>
      <c r="F70" s="23">
        <v>0</v>
      </c>
      <c r="G70" s="11">
        <f>C70+E70</f>
        <v>2926</v>
      </c>
      <c r="H70" s="11">
        <v>4</v>
      </c>
      <c r="I70" s="11">
        <f>C70-E70</f>
        <v>98</v>
      </c>
      <c r="J70" s="11">
        <v>2</v>
      </c>
      <c r="K70" s="9">
        <f>I70/G70</f>
        <v>3.3492822966507178E-2</v>
      </c>
      <c r="L70" s="58">
        <f t="shared" si="26"/>
        <v>3.3492822966507178E-2</v>
      </c>
      <c r="M70" s="9" t="str">
        <f t="shared" si="21"/>
        <v>Spherical</v>
      </c>
      <c r="O70" s="11" t="s">
        <v>18</v>
      </c>
      <c r="P70" s="24">
        <v>1658</v>
      </c>
      <c r="Q70" s="23">
        <v>0</v>
      </c>
      <c r="R70" s="25">
        <v>1362</v>
      </c>
      <c r="S70" s="23">
        <v>0</v>
      </c>
      <c r="T70" s="11">
        <f t="shared" si="22"/>
        <v>3020</v>
      </c>
      <c r="U70" s="11">
        <v>4</v>
      </c>
      <c r="V70" s="11">
        <f t="shared" si="23"/>
        <v>296</v>
      </c>
      <c r="W70" s="11">
        <v>3</v>
      </c>
      <c r="X70" s="9">
        <f t="shared" si="24"/>
        <v>9.8013245033112581E-2</v>
      </c>
      <c r="Y70" s="57">
        <f t="shared" si="27"/>
        <v>9.8013245033112581E-2</v>
      </c>
      <c r="Z70" s="9" t="str">
        <f t="shared" si="25"/>
        <v>Non Spherical</v>
      </c>
    </row>
    <row r="71" spans="1:26" ht="15.75" customHeight="1" x14ac:dyDescent="0.35">
      <c r="A71" s="21"/>
      <c r="B71" s="11" t="s">
        <v>19</v>
      </c>
      <c r="C71" s="24">
        <v>1455</v>
      </c>
      <c r="D71" s="23">
        <v>0</v>
      </c>
      <c r="E71" s="25">
        <v>1348</v>
      </c>
      <c r="F71" s="23">
        <v>0</v>
      </c>
      <c r="G71" s="11">
        <v>1615</v>
      </c>
      <c r="H71" s="11">
        <v>4</v>
      </c>
      <c r="I71" s="11">
        <f>C71-E71</f>
        <v>107</v>
      </c>
      <c r="J71" s="11">
        <v>3</v>
      </c>
      <c r="K71" s="9">
        <f>I71/G71</f>
        <v>6.6253869969040244E-2</v>
      </c>
      <c r="L71" s="57">
        <f t="shared" si="26"/>
        <v>6.6253869969040244E-2</v>
      </c>
      <c r="M71" s="9" t="str">
        <f t="shared" si="21"/>
        <v>Non Spherical</v>
      </c>
      <c r="O71" s="11" t="s">
        <v>19</v>
      </c>
      <c r="P71" s="24">
        <v>1562</v>
      </c>
      <c r="Q71" s="23">
        <v>0</v>
      </c>
      <c r="R71" s="25">
        <v>1179</v>
      </c>
      <c r="S71" s="23">
        <v>0</v>
      </c>
      <c r="T71" s="11">
        <f t="shared" si="22"/>
        <v>2741</v>
      </c>
      <c r="U71" s="11">
        <v>4</v>
      </c>
      <c r="V71" s="11">
        <f t="shared" si="23"/>
        <v>383</v>
      </c>
      <c r="W71" s="11">
        <v>3</v>
      </c>
      <c r="X71" s="9">
        <f t="shared" si="24"/>
        <v>0.13973002553812477</v>
      </c>
      <c r="Y71" s="58">
        <f t="shared" si="27"/>
        <v>0.13973002553812477</v>
      </c>
      <c r="Z71" s="9" t="str">
        <f t="shared" si="25"/>
        <v>Non Spherical</v>
      </c>
    </row>
    <row r="72" spans="1:26" ht="15.75" customHeight="1" x14ac:dyDescent="0.35">
      <c r="A72" s="21"/>
      <c r="B72" s="26" t="s">
        <v>20</v>
      </c>
      <c r="C72" s="27">
        <f t="shared" ref="C72:K72" si="28">AVERAGE(C62:C71)</f>
        <v>1522</v>
      </c>
      <c r="D72" s="27"/>
      <c r="E72" s="27">
        <f t="shared" si="28"/>
        <v>1358.5</v>
      </c>
      <c r="F72" s="27"/>
      <c r="G72" s="26">
        <f t="shared" si="28"/>
        <v>2761.7</v>
      </c>
      <c r="H72" s="26"/>
      <c r="I72" s="26">
        <f t="shared" si="28"/>
        <v>163.5</v>
      </c>
      <c r="J72" s="26"/>
      <c r="K72" s="26">
        <f t="shared" si="28"/>
        <v>5.9791248075100091E-2</v>
      </c>
      <c r="L72" s="26"/>
      <c r="M72" s="27" t="str">
        <f t="shared" si="21"/>
        <v>Non Spherical</v>
      </c>
      <c r="O72" s="26" t="s">
        <v>20</v>
      </c>
      <c r="P72" s="30">
        <f t="shared" ref="P72:X72" si="29">AVERAGE(P62:P71)</f>
        <v>1600.5</v>
      </c>
      <c r="Q72" s="30"/>
      <c r="R72" s="30">
        <f t="shared" si="29"/>
        <v>1304.8</v>
      </c>
      <c r="S72" s="30"/>
      <c r="T72" s="31">
        <f t="shared" si="29"/>
        <v>2905.3</v>
      </c>
      <c r="U72" s="31"/>
      <c r="V72" s="31">
        <f t="shared" si="29"/>
        <v>295.7</v>
      </c>
      <c r="W72" s="31"/>
      <c r="X72" s="31">
        <f t="shared" si="29"/>
        <v>0.10209438686167734</v>
      </c>
      <c r="Y72" s="31"/>
      <c r="Z72" s="30" t="str">
        <f t="shared" si="25"/>
        <v>Non Spherical</v>
      </c>
    </row>
    <row r="73" spans="1:26" ht="15.75" customHeight="1" x14ac:dyDescent="0.35">
      <c r="B73" s="15" t="s">
        <v>21</v>
      </c>
      <c r="C73" s="19">
        <f>AVERAGE(C72:E72)</f>
        <v>1440.25</v>
      </c>
      <c r="D73" s="32"/>
      <c r="E73" s="8"/>
      <c r="F73" s="33"/>
      <c r="K73" s="1"/>
      <c r="L73" s="1"/>
      <c r="O73" s="15" t="s">
        <v>21</v>
      </c>
      <c r="P73" s="19">
        <f>AVERAGE(P72:R72)</f>
        <v>1452.65</v>
      </c>
      <c r="Q73" s="32"/>
      <c r="R73" s="8"/>
      <c r="S73" s="33"/>
      <c r="X73" s="1"/>
      <c r="Y73" s="1"/>
    </row>
    <row r="74" spans="1:26" ht="15.75" customHeight="1" x14ac:dyDescent="0.35">
      <c r="B74" s="20" t="s">
        <v>22</v>
      </c>
      <c r="C74" s="48">
        <f>STDEV(L62:L71)</f>
        <v>2.329307421869703E-2</v>
      </c>
      <c r="D74" s="49"/>
      <c r="E74" s="50"/>
      <c r="F74" s="33"/>
      <c r="K74" s="1"/>
      <c r="L74" s="1"/>
      <c r="O74" s="20" t="s">
        <v>22</v>
      </c>
      <c r="P74" s="45">
        <f>STDEV(Y62:Y71)</f>
        <v>1.4390625623204147E-2</v>
      </c>
      <c r="Q74" s="46"/>
      <c r="R74" s="47"/>
      <c r="S74" s="33"/>
    </row>
    <row r="75" spans="1:26" ht="15.75" customHeight="1" x14ac:dyDescent="0.35">
      <c r="K75" s="1"/>
      <c r="L75" s="1"/>
    </row>
    <row r="76" spans="1:26" ht="15.75" customHeight="1" x14ac:dyDescent="0.35">
      <c r="K76" s="1"/>
      <c r="L76" s="1"/>
    </row>
    <row r="77" spans="1:26" ht="15.75" customHeight="1" x14ac:dyDescent="0.35">
      <c r="K77" s="1"/>
      <c r="L77" s="1"/>
    </row>
    <row r="78" spans="1:26" ht="15.75" customHeight="1" x14ac:dyDescent="0.35">
      <c r="K78" s="1"/>
      <c r="L78" s="1"/>
    </row>
    <row r="79" spans="1:26" ht="15.75" customHeight="1" x14ac:dyDescent="0.35">
      <c r="K79" s="1"/>
      <c r="L79" s="1"/>
    </row>
    <row r="80" spans="1:26" ht="15.75" customHeight="1" x14ac:dyDescent="0.35">
      <c r="K80" s="1"/>
      <c r="L80" s="1"/>
    </row>
    <row r="81" spans="11:12" ht="15.75" customHeight="1" x14ac:dyDescent="0.35">
      <c r="K81" s="1"/>
      <c r="L81" s="1"/>
    </row>
    <row r="82" spans="11:12" ht="15.75" customHeight="1" x14ac:dyDescent="0.35">
      <c r="K82" s="1"/>
      <c r="L82" s="1"/>
    </row>
    <row r="83" spans="11:12" ht="15.75" customHeight="1" x14ac:dyDescent="0.35">
      <c r="K83" s="1"/>
      <c r="L83" s="1"/>
    </row>
    <row r="84" spans="11:12" ht="15.75" customHeight="1" x14ac:dyDescent="0.35">
      <c r="K84" s="1"/>
      <c r="L84" s="1"/>
    </row>
    <row r="85" spans="11:12" ht="15.75" customHeight="1" x14ac:dyDescent="0.35">
      <c r="K85" s="1"/>
      <c r="L85" s="1"/>
    </row>
    <row r="86" spans="11:12" ht="15.75" customHeight="1" x14ac:dyDescent="0.35">
      <c r="K86" s="1"/>
      <c r="L86" s="1"/>
    </row>
    <row r="87" spans="11:12" ht="15.75" customHeight="1" x14ac:dyDescent="0.35">
      <c r="K87" s="1"/>
      <c r="L87" s="1"/>
    </row>
    <row r="88" spans="11:12" ht="15.75" customHeight="1" x14ac:dyDescent="0.35">
      <c r="K88" s="1"/>
      <c r="L88" s="1"/>
    </row>
    <row r="89" spans="11:12" ht="15.75" customHeight="1" x14ac:dyDescent="0.35">
      <c r="K89" s="1"/>
      <c r="L89" s="1"/>
    </row>
    <row r="90" spans="11:12" ht="15.75" customHeight="1" x14ac:dyDescent="0.35">
      <c r="K90" s="1"/>
      <c r="L90" s="1"/>
    </row>
    <row r="91" spans="11:12" ht="15.75" customHeight="1" x14ac:dyDescent="0.35">
      <c r="K91" s="1"/>
      <c r="L91" s="1"/>
    </row>
    <row r="92" spans="11:12" ht="15.75" customHeight="1" x14ac:dyDescent="0.35">
      <c r="K92" s="1"/>
      <c r="L92" s="1"/>
    </row>
    <row r="93" spans="11:12" ht="15.75" customHeight="1" x14ac:dyDescent="0.35">
      <c r="K93" s="1"/>
      <c r="L93" s="1"/>
    </row>
    <row r="94" spans="11:12" ht="15.75" customHeight="1" x14ac:dyDescent="0.35">
      <c r="K94" s="1"/>
      <c r="L94" s="1"/>
    </row>
    <row r="95" spans="11:12" ht="15.75" customHeight="1" x14ac:dyDescent="0.35">
      <c r="K95" s="1"/>
      <c r="L95" s="1"/>
    </row>
    <row r="96" spans="11:12" ht="15.75" customHeight="1" x14ac:dyDescent="0.35">
      <c r="K96" s="1"/>
      <c r="L96" s="1"/>
    </row>
    <row r="97" spans="11:12" ht="15.75" customHeight="1" x14ac:dyDescent="0.35">
      <c r="K97" s="1"/>
      <c r="L97" s="1"/>
    </row>
    <row r="98" spans="11:12" ht="15.75" customHeight="1" x14ac:dyDescent="0.35">
      <c r="K98" s="1"/>
      <c r="L98" s="1"/>
    </row>
    <row r="99" spans="11:12" ht="15.75" customHeight="1" x14ac:dyDescent="0.35">
      <c r="K99" s="1"/>
      <c r="L99" s="1"/>
    </row>
    <row r="100" spans="11:12" ht="15.75" customHeight="1" x14ac:dyDescent="0.35">
      <c r="K100" s="1"/>
      <c r="L100" s="1"/>
    </row>
    <row r="101" spans="11:12" ht="15.75" customHeight="1" x14ac:dyDescent="0.35">
      <c r="K101" s="1"/>
      <c r="L101" s="1"/>
    </row>
    <row r="102" spans="11:12" ht="15.75" customHeight="1" x14ac:dyDescent="0.35">
      <c r="K102" s="1"/>
      <c r="L102" s="1"/>
    </row>
    <row r="103" spans="11:12" ht="15.75" customHeight="1" x14ac:dyDescent="0.35">
      <c r="K103" s="1"/>
      <c r="L103" s="1"/>
    </row>
    <row r="104" spans="11:12" ht="15.75" customHeight="1" x14ac:dyDescent="0.35">
      <c r="K104" s="1"/>
      <c r="L104" s="1"/>
    </row>
    <row r="105" spans="11:12" ht="15.75" customHeight="1" x14ac:dyDescent="0.35">
      <c r="K105" s="1"/>
      <c r="L105" s="1"/>
    </row>
    <row r="106" spans="11:12" ht="15.75" customHeight="1" x14ac:dyDescent="0.35">
      <c r="K106" s="1"/>
      <c r="L106" s="1"/>
    </row>
    <row r="107" spans="11:12" ht="15.75" customHeight="1" x14ac:dyDescent="0.35">
      <c r="K107" s="1"/>
      <c r="L107" s="1"/>
    </row>
    <row r="108" spans="11:12" ht="15.75" customHeight="1" x14ac:dyDescent="0.35">
      <c r="K108" s="1"/>
      <c r="L108" s="1"/>
    </row>
    <row r="109" spans="11:12" ht="15.75" customHeight="1" x14ac:dyDescent="0.35">
      <c r="K109" s="1"/>
      <c r="L109" s="1"/>
    </row>
    <row r="110" spans="11:12" ht="15.75" customHeight="1" x14ac:dyDescent="0.35">
      <c r="K110" s="1"/>
      <c r="L110" s="1"/>
    </row>
    <row r="111" spans="11:12" ht="15.75" customHeight="1" x14ac:dyDescent="0.35">
      <c r="K111" s="1"/>
      <c r="L111" s="1"/>
    </row>
    <row r="112" spans="11:12" ht="15.75" customHeight="1" x14ac:dyDescent="0.35">
      <c r="K112" s="1"/>
      <c r="L112" s="1"/>
    </row>
    <row r="113" spans="11:12" ht="15.75" customHeight="1" x14ac:dyDescent="0.35">
      <c r="K113" s="1"/>
      <c r="L113" s="1"/>
    </row>
    <row r="114" spans="11:12" ht="15.75" customHeight="1" x14ac:dyDescent="0.35">
      <c r="K114" s="1"/>
      <c r="L114" s="1"/>
    </row>
    <row r="115" spans="11:12" ht="15.75" customHeight="1" x14ac:dyDescent="0.35">
      <c r="K115" s="1"/>
      <c r="L115" s="1"/>
    </row>
    <row r="116" spans="11:12" ht="15.75" customHeight="1" x14ac:dyDescent="0.35">
      <c r="K116" s="1"/>
      <c r="L116" s="1"/>
    </row>
    <row r="117" spans="11:12" ht="15.75" customHeight="1" x14ac:dyDescent="0.35">
      <c r="K117" s="1"/>
      <c r="L117" s="1"/>
    </row>
    <row r="118" spans="11:12" ht="15.75" customHeight="1" x14ac:dyDescent="0.35">
      <c r="K118" s="1"/>
      <c r="L118" s="1"/>
    </row>
    <row r="119" spans="11:12" ht="15.75" customHeight="1" x14ac:dyDescent="0.35">
      <c r="K119" s="1"/>
      <c r="L119" s="1"/>
    </row>
    <row r="120" spans="11:12" ht="15.75" customHeight="1" x14ac:dyDescent="0.35">
      <c r="K120" s="1"/>
      <c r="L120" s="1"/>
    </row>
    <row r="121" spans="11:12" ht="15.75" customHeight="1" x14ac:dyDescent="0.35">
      <c r="K121" s="1"/>
      <c r="L121" s="1"/>
    </row>
    <row r="122" spans="11:12" ht="15.75" customHeight="1" x14ac:dyDescent="0.35">
      <c r="K122" s="1"/>
      <c r="L122" s="1"/>
    </row>
    <row r="123" spans="11:12" ht="15.75" customHeight="1" x14ac:dyDescent="0.35">
      <c r="K123" s="1"/>
      <c r="L123" s="1"/>
    </row>
    <row r="124" spans="11:12" ht="15.75" customHeight="1" x14ac:dyDescent="0.35">
      <c r="K124" s="1"/>
      <c r="L124" s="1"/>
    </row>
    <row r="125" spans="11:12" ht="15.75" customHeight="1" x14ac:dyDescent="0.35">
      <c r="K125" s="1"/>
      <c r="L125" s="1"/>
    </row>
    <row r="126" spans="11:12" ht="15.75" customHeight="1" x14ac:dyDescent="0.35">
      <c r="K126" s="1"/>
      <c r="L126" s="1"/>
    </row>
    <row r="127" spans="11:12" ht="15.75" customHeight="1" x14ac:dyDescent="0.35">
      <c r="K127" s="1"/>
      <c r="L127" s="1"/>
    </row>
    <row r="128" spans="11:12" ht="15.75" customHeight="1" x14ac:dyDescent="0.35">
      <c r="K128" s="1"/>
      <c r="L128" s="1"/>
    </row>
    <row r="129" spans="11:12" ht="15.75" customHeight="1" x14ac:dyDescent="0.35">
      <c r="K129" s="1"/>
      <c r="L129" s="1"/>
    </row>
    <row r="130" spans="11:12" ht="15.75" customHeight="1" x14ac:dyDescent="0.35">
      <c r="K130" s="1"/>
      <c r="L130" s="1"/>
    </row>
    <row r="131" spans="11:12" ht="15.75" customHeight="1" x14ac:dyDescent="0.35">
      <c r="K131" s="1"/>
      <c r="L131" s="1"/>
    </row>
    <row r="132" spans="11:12" ht="15.75" customHeight="1" x14ac:dyDescent="0.35">
      <c r="K132" s="1"/>
      <c r="L132" s="1"/>
    </row>
    <row r="133" spans="11:12" ht="15.75" customHeight="1" x14ac:dyDescent="0.35">
      <c r="K133" s="1"/>
      <c r="L133" s="1"/>
    </row>
    <row r="134" spans="11:12" ht="15.75" customHeight="1" x14ac:dyDescent="0.35">
      <c r="K134" s="1"/>
      <c r="L134" s="1"/>
    </row>
    <row r="135" spans="11:12" ht="15.75" customHeight="1" x14ac:dyDescent="0.35">
      <c r="K135" s="1"/>
      <c r="L135" s="1"/>
    </row>
    <row r="136" spans="11:12" ht="15.75" customHeight="1" x14ac:dyDescent="0.35">
      <c r="K136" s="1"/>
      <c r="L136" s="1"/>
    </row>
    <row r="137" spans="11:12" ht="15.75" customHeight="1" x14ac:dyDescent="0.35">
      <c r="K137" s="1"/>
      <c r="L137" s="1"/>
    </row>
    <row r="138" spans="11:12" ht="15.75" customHeight="1" x14ac:dyDescent="0.35">
      <c r="K138" s="1"/>
      <c r="L138" s="1"/>
    </row>
    <row r="139" spans="11:12" ht="15.75" customHeight="1" x14ac:dyDescent="0.35">
      <c r="K139" s="1"/>
      <c r="L139" s="1"/>
    </row>
    <row r="140" spans="11:12" ht="15.75" customHeight="1" x14ac:dyDescent="0.35">
      <c r="K140" s="1"/>
      <c r="L140" s="1"/>
    </row>
    <row r="141" spans="11:12" ht="15.75" customHeight="1" x14ac:dyDescent="0.35">
      <c r="K141" s="1"/>
      <c r="L141" s="1"/>
    </row>
    <row r="142" spans="11:12" ht="15.75" customHeight="1" x14ac:dyDescent="0.35">
      <c r="K142" s="1"/>
      <c r="L142" s="1"/>
    </row>
    <row r="143" spans="11:12" ht="15.75" customHeight="1" x14ac:dyDescent="0.35">
      <c r="K143" s="1"/>
      <c r="L143" s="1"/>
    </row>
    <row r="144" spans="11:12" ht="15.75" customHeight="1" x14ac:dyDescent="0.35">
      <c r="K144" s="1"/>
      <c r="L144" s="1"/>
    </row>
    <row r="145" spans="11:12" ht="15.75" customHeight="1" x14ac:dyDescent="0.35">
      <c r="K145" s="1"/>
      <c r="L145" s="1"/>
    </row>
    <row r="146" spans="11:12" ht="15.75" customHeight="1" x14ac:dyDescent="0.35">
      <c r="K146" s="1"/>
      <c r="L146" s="1"/>
    </row>
    <row r="147" spans="11:12" ht="15.75" customHeight="1" x14ac:dyDescent="0.35">
      <c r="K147" s="1"/>
      <c r="L147" s="1"/>
    </row>
    <row r="148" spans="11:12" ht="15.75" customHeight="1" x14ac:dyDescent="0.35">
      <c r="K148" s="1"/>
      <c r="L148" s="1"/>
    </row>
    <row r="149" spans="11:12" ht="15.75" customHeight="1" x14ac:dyDescent="0.35">
      <c r="K149" s="1"/>
      <c r="L149" s="1"/>
    </row>
    <row r="150" spans="11:12" ht="15.75" customHeight="1" x14ac:dyDescent="0.35">
      <c r="K150" s="1"/>
      <c r="L150" s="1"/>
    </row>
    <row r="151" spans="11:12" ht="15.75" customHeight="1" x14ac:dyDescent="0.35">
      <c r="K151" s="1"/>
      <c r="L151" s="1"/>
    </row>
    <row r="152" spans="11:12" ht="15.75" customHeight="1" x14ac:dyDescent="0.35">
      <c r="K152" s="1"/>
      <c r="L152" s="1"/>
    </row>
    <row r="153" spans="11:12" ht="15.75" customHeight="1" x14ac:dyDescent="0.35">
      <c r="K153" s="1"/>
      <c r="L153" s="1"/>
    </row>
    <row r="154" spans="11:12" ht="15.75" customHeight="1" x14ac:dyDescent="0.35">
      <c r="K154" s="1"/>
      <c r="L154" s="1"/>
    </row>
    <row r="155" spans="11:12" ht="15.75" customHeight="1" x14ac:dyDescent="0.35">
      <c r="K155" s="1"/>
      <c r="L155" s="1"/>
    </row>
    <row r="156" spans="11:12" ht="15.75" customHeight="1" x14ac:dyDescent="0.35">
      <c r="K156" s="1"/>
      <c r="L156" s="1"/>
    </row>
    <row r="157" spans="11:12" ht="15.75" customHeight="1" x14ac:dyDescent="0.35">
      <c r="K157" s="1"/>
      <c r="L157" s="1"/>
    </row>
    <row r="158" spans="11:12" ht="15.75" customHeight="1" x14ac:dyDescent="0.35">
      <c r="K158" s="1"/>
      <c r="L158" s="1"/>
    </row>
    <row r="159" spans="11:12" ht="15.75" customHeight="1" x14ac:dyDescent="0.35">
      <c r="K159" s="1"/>
      <c r="L159" s="1"/>
    </row>
    <row r="160" spans="11:12" ht="15.75" customHeight="1" x14ac:dyDescent="0.35">
      <c r="K160" s="1"/>
      <c r="L160" s="1"/>
    </row>
    <row r="161" spans="11:12" ht="15.75" customHeight="1" x14ac:dyDescent="0.35">
      <c r="K161" s="1"/>
      <c r="L161" s="1"/>
    </row>
    <row r="162" spans="11:12" ht="15.75" customHeight="1" x14ac:dyDescent="0.35">
      <c r="K162" s="1"/>
      <c r="L162" s="1"/>
    </row>
    <row r="163" spans="11:12" ht="15.75" customHeight="1" x14ac:dyDescent="0.35">
      <c r="K163" s="1"/>
      <c r="L163" s="1"/>
    </row>
    <row r="164" spans="11:12" ht="15.75" customHeight="1" x14ac:dyDescent="0.35">
      <c r="K164" s="1"/>
      <c r="L164" s="1"/>
    </row>
    <row r="165" spans="11:12" ht="15.75" customHeight="1" x14ac:dyDescent="0.35">
      <c r="K165" s="1"/>
      <c r="L165" s="1"/>
    </row>
    <row r="166" spans="11:12" ht="15.75" customHeight="1" x14ac:dyDescent="0.35">
      <c r="K166" s="1"/>
      <c r="L166" s="1"/>
    </row>
    <row r="167" spans="11:12" ht="15.75" customHeight="1" x14ac:dyDescent="0.35">
      <c r="K167" s="1"/>
      <c r="L167" s="1"/>
    </row>
    <row r="168" spans="11:12" ht="15.75" customHeight="1" x14ac:dyDescent="0.35">
      <c r="K168" s="1"/>
      <c r="L168" s="1"/>
    </row>
    <row r="169" spans="11:12" ht="15.75" customHeight="1" x14ac:dyDescent="0.35">
      <c r="K169" s="1"/>
      <c r="L169" s="1"/>
    </row>
    <row r="170" spans="11:12" ht="15.75" customHeight="1" x14ac:dyDescent="0.35">
      <c r="K170" s="1"/>
      <c r="L170" s="1"/>
    </row>
    <row r="171" spans="11:12" ht="15.75" customHeight="1" x14ac:dyDescent="0.35">
      <c r="K171" s="1"/>
      <c r="L171" s="1"/>
    </row>
    <row r="172" spans="11:12" ht="15.75" customHeight="1" x14ac:dyDescent="0.35">
      <c r="K172" s="1"/>
      <c r="L172" s="1"/>
    </row>
    <row r="173" spans="11:12" ht="15.75" customHeight="1" x14ac:dyDescent="0.35">
      <c r="K173" s="1"/>
      <c r="L173" s="1"/>
    </row>
    <row r="174" spans="11:12" ht="15.75" customHeight="1" x14ac:dyDescent="0.35">
      <c r="K174" s="1"/>
      <c r="L174" s="1"/>
    </row>
    <row r="175" spans="11:12" ht="15.75" customHeight="1" x14ac:dyDescent="0.35">
      <c r="K175" s="1"/>
      <c r="L175" s="1"/>
    </row>
    <row r="176" spans="11:12" ht="15.75" customHeight="1" x14ac:dyDescent="0.35">
      <c r="K176" s="1"/>
      <c r="L176" s="1"/>
    </row>
    <row r="177" spans="11:12" ht="15.75" customHeight="1" x14ac:dyDescent="0.35">
      <c r="K177" s="1"/>
      <c r="L177" s="1"/>
    </row>
    <row r="178" spans="11:12" ht="15.75" customHeight="1" x14ac:dyDescent="0.35">
      <c r="K178" s="1"/>
      <c r="L178" s="1"/>
    </row>
    <row r="179" spans="11:12" ht="15.75" customHeight="1" x14ac:dyDescent="0.35">
      <c r="K179" s="1"/>
      <c r="L179" s="1"/>
    </row>
    <row r="180" spans="11:12" ht="15.75" customHeight="1" x14ac:dyDescent="0.35">
      <c r="K180" s="1"/>
      <c r="L180" s="1"/>
    </row>
    <row r="181" spans="11:12" ht="15.75" customHeight="1" x14ac:dyDescent="0.35">
      <c r="K181" s="1"/>
      <c r="L181" s="1"/>
    </row>
    <row r="182" spans="11:12" ht="15.75" customHeight="1" x14ac:dyDescent="0.35">
      <c r="K182" s="1"/>
      <c r="L182" s="1"/>
    </row>
    <row r="183" spans="11:12" ht="15.75" customHeight="1" x14ac:dyDescent="0.35">
      <c r="K183" s="1"/>
      <c r="L183" s="1"/>
    </row>
    <row r="184" spans="11:12" ht="15.75" customHeight="1" x14ac:dyDescent="0.35">
      <c r="K184" s="1"/>
      <c r="L184" s="1"/>
    </row>
    <row r="185" spans="11:12" ht="15.75" customHeight="1" x14ac:dyDescent="0.35">
      <c r="K185" s="1"/>
      <c r="L185" s="1"/>
    </row>
    <row r="186" spans="11:12" ht="15.75" customHeight="1" x14ac:dyDescent="0.35">
      <c r="K186" s="1"/>
      <c r="L186" s="1"/>
    </row>
    <row r="187" spans="11:12" ht="15.75" customHeight="1" x14ac:dyDescent="0.35">
      <c r="K187" s="1"/>
      <c r="L187" s="1"/>
    </row>
    <row r="188" spans="11:12" ht="15.75" customHeight="1" x14ac:dyDescent="0.35">
      <c r="K188" s="1"/>
      <c r="L188" s="1"/>
    </row>
    <row r="189" spans="11:12" ht="15.75" customHeight="1" x14ac:dyDescent="0.35">
      <c r="K189" s="1"/>
      <c r="L189" s="1"/>
    </row>
    <row r="190" spans="11:12" ht="15.75" customHeight="1" x14ac:dyDescent="0.35">
      <c r="K190" s="1"/>
      <c r="L190" s="1"/>
    </row>
    <row r="191" spans="11:12" ht="15.75" customHeight="1" x14ac:dyDescent="0.35">
      <c r="K191" s="1"/>
      <c r="L191" s="1"/>
    </row>
    <row r="192" spans="11:12" ht="15.75" customHeight="1" x14ac:dyDescent="0.35">
      <c r="K192" s="1"/>
      <c r="L192" s="1"/>
    </row>
    <row r="193" spans="11:12" ht="15.75" customHeight="1" x14ac:dyDescent="0.35">
      <c r="K193" s="1"/>
      <c r="L193" s="1"/>
    </row>
    <row r="194" spans="11:12" ht="15.75" customHeight="1" x14ac:dyDescent="0.35">
      <c r="K194" s="1"/>
      <c r="L194" s="1"/>
    </row>
    <row r="195" spans="11:12" ht="15.75" customHeight="1" x14ac:dyDescent="0.35">
      <c r="K195" s="1"/>
      <c r="L195" s="1"/>
    </row>
    <row r="196" spans="11:12" ht="15.75" customHeight="1" x14ac:dyDescent="0.35">
      <c r="K196" s="1"/>
      <c r="L196" s="1"/>
    </row>
    <row r="197" spans="11:12" ht="15.75" customHeight="1" x14ac:dyDescent="0.35">
      <c r="K197" s="1"/>
      <c r="L197" s="1"/>
    </row>
    <row r="198" spans="11:12" ht="15.75" customHeight="1" x14ac:dyDescent="0.35">
      <c r="K198" s="1"/>
      <c r="L198" s="1"/>
    </row>
    <row r="199" spans="11:12" ht="15.75" customHeight="1" x14ac:dyDescent="0.35">
      <c r="K199" s="1"/>
      <c r="L199" s="1"/>
    </row>
    <row r="200" spans="11:12" ht="15.75" customHeight="1" x14ac:dyDescent="0.35">
      <c r="K200" s="1"/>
      <c r="L200" s="1"/>
    </row>
    <row r="201" spans="11:12" ht="15.75" customHeight="1" x14ac:dyDescent="0.35">
      <c r="K201" s="1"/>
      <c r="L201" s="1"/>
    </row>
    <row r="202" spans="11:12" ht="15.75" customHeight="1" x14ac:dyDescent="0.35">
      <c r="K202" s="1"/>
      <c r="L202" s="1"/>
    </row>
    <row r="203" spans="11:12" ht="15.75" customHeight="1" x14ac:dyDescent="0.35">
      <c r="K203" s="1"/>
      <c r="L203" s="1"/>
    </row>
    <row r="204" spans="11:12" ht="15.75" customHeight="1" x14ac:dyDescent="0.35">
      <c r="K204" s="1"/>
      <c r="L204" s="1"/>
    </row>
    <row r="205" spans="11:12" ht="15.75" customHeight="1" x14ac:dyDescent="0.35">
      <c r="K205" s="1"/>
      <c r="L205" s="1"/>
    </row>
    <row r="206" spans="11:12" ht="15.75" customHeight="1" x14ac:dyDescent="0.35">
      <c r="K206" s="1"/>
      <c r="L206" s="1"/>
    </row>
    <row r="207" spans="11:12" ht="15.75" customHeight="1" x14ac:dyDescent="0.35">
      <c r="K207" s="1"/>
      <c r="L207" s="1"/>
    </row>
    <row r="208" spans="11:12" ht="15.75" customHeight="1" x14ac:dyDescent="0.35">
      <c r="K208" s="1"/>
      <c r="L208" s="1"/>
    </row>
    <row r="209" spans="11:12" ht="15.75" customHeight="1" x14ac:dyDescent="0.35">
      <c r="K209" s="1"/>
      <c r="L209" s="1"/>
    </row>
    <row r="210" spans="11:12" ht="15.75" customHeight="1" x14ac:dyDescent="0.35">
      <c r="K210" s="1"/>
      <c r="L210" s="1"/>
    </row>
    <row r="211" spans="11:12" ht="15.75" customHeight="1" x14ac:dyDescent="0.35">
      <c r="K211" s="1"/>
      <c r="L211" s="1"/>
    </row>
    <row r="212" spans="11:12" ht="15.75" customHeight="1" x14ac:dyDescent="0.35">
      <c r="K212" s="1"/>
      <c r="L212" s="1"/>
    </row>
    <row r="213" spans="11:12" ht="15.75" customHeight="1" x14ac:dyDescent="0.35">
      <c r="K213" s="1"/>
      <c r="L213" s="1"/>
    </row>
    <row r="214" spans="11:12" ht="15.75" customHeight="1" x14ac:dyDescent="0.35">
      <c r="K214" s="1"/>
      <c r="L214" s="1"/>
    </row>
    <row r="215" spans="11:12" ht="15.75" customHeight="1" x14ac:dyDescent="0.35">
      <c r="K215" s="1"/>
      <c r="L215" s="1"/>
    </row>
    <row r="216" spans="11:12" ht="15.75" customHeight="1" x14ac:dyDescent="0.35">
      <c r="K216" s="1"/>
      <c r="L216" s="1"/>
    </row>
    <row r="217" spans="11:12" ht="15.75" customHeight="1" x14ac:dyDescent="0.35">
      <c r="K217" s="1"/>
      <c r="L217" s="1"/>
    </row>
    <row r="218" spans="11:12" ht="15.75" customHeight="1" x14ac:dyDescent="0.35">
      <c r="K218" s="1"/>
      <c r="L218" s="1"/>
    </row>
    <row r="219" spans="11:12" ht="15.75" customHeight="1" x14ac:dyDescent="0.35">
      <c r="K219" s="1"/>
      <c r="L219" s="1"/>
    </row>
    <row r="220" spans="11:12" ht="15.75" customHeight="1" x14ac:dyDescent="0.35">
      <c r="K220" s="1"/>
      <c r="L220" s="1"/>
    </row>
    <row r="221" spans="11:12" ht="15.75" customHeight="1" x14ac:dyDescent="0.35">
      <c r="K221" s="1"/>
      <c r="L221" s="1"/>
    </row>
    <row r="222" spans="11:12" ht="15.75" customHeight="1" x14ac:dyDescent="0.35">
      <c r="K222" s="1"/>
      <c r="L222" s="1"/>
    </row>
    <row r="223" spans="11:12" ht="15.75" customHeight="1" x14ac:dyDescent="0.35">
      <c r="K223" s="1"/>
      <c r="L223" s="1"/>
    </row>
    <row r="224" spans="11:12" ht="15.75" customHeight="1" x14ac:dyDescent="0.35">
      <c r="K224" s="1"/>
      <c r="L224" s="1"/>
    </row>
    <row r="225" spans="11:12" ht="15.75" customHeight="1" x14ac:dyDescent="0.35">
      <c r="K225" s="1"/>
      <c r="L225" s="1"/>
    </row>
    <row r="226" spans="11:12" ht="15.75" customHeight="1" x14ac:dyDescent="0.35">
      <c r="K226" s="1"/>
      <c r="L226" s="1"/>
    </row>
    <row r="227" spans="11:12" ht="15.75" customHeight="1" x14ac:dyDescent="0.35">
      <c r="K227" s="1"/>
      <c r="L227" s="1"/>
    </row>
    <row r="228" spans="11:12" ht="15.75" customHeight="1" x14ac:dyDescent="0.35">
      <c r="K228" s="1"/>
      <c r="L228" s="1"/>
    </row>
    <row r="229" spans="11:12" ht="15.75" customHeight="1" x14ac:dyDescent="0.35">
      <c r="K229" s="1"/>
      <c r="L229" s="1"/>
    </row>
    <row r="230" spans="11:12" ht="15.75" customHeight="1" x14ac:dyDescent="0.35">
      <c r="K230" s="1"/>
      <c r="L230" s="1"/>
    </row>
    <row r="231" spans="11:12" ht="15.75" customHeight="1" x14ac:dyDescent="0.35">
      <c r="K231" s="1"/>
      <c r="L231" s="1"/>
    </row>
    <row r="232" spans="11:12" ht="15.75" customHeight="1" x14ac:dyDescent="0.35">
      <c r="K232" s="1"/>
      <c r="L232" s="1"/>
    </row>
    <row r="233" spans="11:12" ht="15.75" customHeight="1" x14ac:dyDescent="0.35">
      <c r="K233" s="1"/>
      <c r="L233" s="1"/>
    </row>
    <row r="234" spans="11:12" ht="15.75" customHeight="1" x14ac:dyDescent="0.35">
      <c r="K234" s="1"/>
      <c r="L234" s="1"/>
    </row>
    <row r="235" spans="11:12" ht="15.75" customHeight="1" x14ac:dyDescent="0.35">
      <c r="K235" s="1"/>
      <c r="L235" s="1"/>
    </row>
    <row r="236" spans="11:12" ht="15.75" customHeight="1" x14ac:dyDescent="0.35">
      <c r="K236" s="1"/>
      <c r="L236" s="1"/>
    </row>
    <row r="237" spans="11:12" ht="15.75" customHeight="1" x14ac:dyDescent="0.35">
      <c r="K237" s="1"/>
      <c r="L237" s="1"/>
    </row>
    <row r="238" spans="11:12" ht="15.75" customHeight="1" x14ac:dyDescent="0.35">
      <c r="K238" s="1"/>
      <c r="L238" s="1"/>
    </row>
    <row r="239" spans="11:12" ht="15.75" customHeight="1" x14ac:dyDescent="0.35">
      <c r="K239" s="1"/>
      <c r="L239" s="1"/>
    </row>
    <row r="240" spans="11:12" ht="15.75" customHeight="1" x14ac:dyDescent="0.35">
      <c r="K240" s="1"/>
      <c r="L240" s="1"/>
    </row>
    <row r="241" spans="11:12" ht="15.75" customHeight="1" x14ac:dyDescent="0.35">
      <c r="K241" s="1"/>
      <c r="L241" s="1"/>
    </row>
    <row r="242" spans="11:12" ht="15.75" customHeight="1" x14ac:dyDescent="0.35">
      <c r="K242" s="1"/>
      <c r="L242" s="1"/>
    </row>
    <row r="243" spans="11:12" ht="15.75" customHeight="1" x14ac:dyDescent="0.35">
      <c r="K243" s="1"/>
      <c r="L243" s="1"/>
    </row>
    <row r="244" spans="11:12" ht="15.75" customHeight="1" x14ac:dyDescent="0.35">
      <c r="K244" s="1"/>
      <c r="L244" s="1"/>
    </row>
    <row r="245" spans="11:12" ht="15.75" customHeight="1" x14ac:dyDescent="0.35">
      <c r="K245" s="1"/>
      <c r="L245" s="1"/>
    </row>
    <row r="246" spans="11:12" ht="15.75" customHeight="1" x14ac:dyDescent="0.35">
      <c r="K246" s="1"/>
      <c r="L246" s="1"/>
    </row>
    <row r="247" spans="11:12" ht="15.75" customHeight="1" x14ac:dyDescent="0.35">
      <c r="K247" s="1"/>
      <c r="L247" s="1"/>
    </row>
    <row r="248" spans="11:12" ht="15.75" customHeight="1" x14ac:dyDescent="0.35">
      <c r="K248" s="1"/>
      <c r="L248" s="1"/>
    </row>
    <row r="249" spans="11:12" ht="15.75" customHeight="1" x14ac:dyDescent="0.35">
      <c r="K249" s="1"/>
      <c r="L249" s="1"/>
    </row>
    <row r="250" spans="11:12" ht="15.75" customHeight="1" x14ac:dyDescent="0.35">
      <c r="K250" s="1"/>
      <c r="L250" s="1"/>
    </row>
    <row r="251" spans="11:12" ht="15.75" customHeight="1" x14ac:dyDescent="0.35">
      <c r="K251" s="1"/>
      <c r="L251" s="1"/>
    </row>
    <row r="252" spans="11:12" ht="15.75" customHeight="1" x14ac:dyDescent="0.35">
      <c r="K252" s="1"/>
      <c r="L252" s="1"/>
    </row>
    <row r="253" spans="11:12" ht="15.75" customHeight="1" x14ac:dyDescent="0.35">
      <c r="K253" s="1"/>
      <c r="L253" s="1"/>
    </row>
    <row r="254" spans="11:12" ht="15.75" customHeight="1" x14ac:dyDescent="0.35">
      <c r="K254" s="1"/>
      <c r="L254" s="1"/>
    </row>
    <row r="255" spans="11:12" ht="15.75" customHeight="1" x14ac:dyDescent="0.35">
      <c r="K255" s="1"/>
      <c r="L255" s="1"/>
    </row>
    <row r="256" spans="11:12" ht="15.75" customHeight="1" x14ac:dyDescent="0.35">
      <c r="K256" s="1"/>
      <c r="L256" s="1"/>
    </row>
    <row r="257" spans="11:12" ht="15.75" customHeight="1" x14ac:dyDescent="0.35">
      <c r="K257" s="1"/>
      <c r="L257" s="1"/>
    </row>
    <row r="258" spans="11:12" ht="15.75" customHeight="1" x14ac:dyDescent="0.35">
      <c r="K258" s="1"/>
      <c r="L258" s="1"/>
    </row>
    <row r="259" spans="11:12" ht="15.75" customHeight="1" x14ac:dyDescent="0.35">
      <c r="K259" s="1"/>
      <c r="L259" s="1"/>
    </row>
    <row r="260" spans="11:12" ht="15.75" customHeight="1" x14ac:dyDescent="0.35">
      <c r="K260" s="1"/>
      <c r="L260" s="1"/>
    </row>
    <row r="261" spans="11:12" ht="15.75" customHeight="1" x14ac:dyDescent="0.35">
      <c r="K261" s="1"/>
      <c r="L261" s="1"/>
    </row>
    <row r="262" spans="11:12" ht="15.75" customHeight="1" x14ac:dyDescent="0.35">
      <c r="K262" s="1"/>
      <c r="L262" s="1"/>
    </row>
    <row r="263" spans="11:12" ht="15.75" customHeight="1" x14ac:dyDescent="0.35">
      <c r="K263" s="1"/>
      <c r="L263" s="1"/>
    </row>
    <row r="264" spans="11:12" ht="15.75" customHeight="1" x14ac:dyDescent="0.35">
      <c r="K264" s="1"/>
      <c r="L264" s="1"/>
    </row>
    <row r="265" spans="11:12" ht="15.75" customHeight="1" x14ac:dyDescent="0.35">
      <c r="K265" s="1"/>
      <c r="L265" s="1"/>
    </row>
    <row r="266" spans="11:12" ht="15.75" customHeight="1" x14ac:dyDescent="0.35">
      <c r="K266" s="1"/>
      <c r="L266" s="1"/>
    </row>
    <row r="267" spans="11:12" ht="15.75" customHeight="1" x14ac:dyDescent="0.35">
      <c r="K267" s="1"/>
      <c r="L267" s="1"/>
    </row>
    <row r="268" spans="11:12" ht="15.75" customHeight="1" x14ac:dyDescent="0.35">
      <c r="K268" s="1"/>
      <c r="L268" s="1"/>
    </row>
    <row r="269" spans="11:12" ht="15.75" customHeight="1" x14ac:dyDescent="0.35">
      <c r="K269" s="1"/>
      <c r="L269" s="1"/>
    </row>
    <row r="270" spans="11:12" ht="15.75" customHeight="1" x14ac:dyDescent="0.35">
      <c r="K270" s="1"/>
      <c r="L270" s="1"/>
    </row>
    <row r="271" spans="11:12" ht="15.75" customHeight="1" x14ac:dyDescent="0.35">
      <c r="K271" s="1"/>
      <c r="L271" s="1"/>
    </row>
    <row r="272" spans="11:12" ht="15.75" customHeight="1" x14ac:dyDescent="0.35">
      <c r="K272" s="1"/>
      <c r="L272" s="1"/>
    </row>
    <row r="273" spans="11:12" ht="15.75" customHeight="1" x14ac:dyDescent="0.35">
      <c r="K273" s="1"/>
      <c r="L273" s="1"/>
    </row>
    <row r="274" spans="11:12" ht="15.75" customHeight="1" x14ac:dyDescent="0.35"/>
    <row r="275" spans="11:12" ht="15.75" customHeight="1" x14ac:dyDescent="0.35"/>
    <row r="276" spans="11:12" ht="15.75" customHeight="1" x14ac:dyDescent="0.35"/>
    <row r="277" spans="11:12" ht="15.75" customHeight="1" x14ac:dyDescent="0.35"/>
    <row r="278" spans="11:12" ht="15.75" customHeight="1" x14ac:dyDescent="0.35"/>
    <row r="279" spans="11:12" ht="15.75" customHeight="1" x14ac:dyDescent="0.35"/>
    <row r="280" spans="11:12" ht="15.75" customHeight="1" x14ac:dyDescent="0.35"/>
    <row r="281" spans="11:12" ht="15.75" customHeight="1" x14ac:dyDescent="0.35"/>
    <row r="282" spans="11:12" ht="15.75" customHeight="1" x14ac:dyDescent="0.35"/>
    <row r="283" spans="11:12" ht="15.75" customHeight="1" x14ac:dyDescent="0.35"/>
    <row r="284" spans="11:12" ht="15.75" customHeight="1" x14ac:dyDescent="0.35"/>
    <row r="285" spans="11:12" ht="15.75" customHeight="1" x14ac:dyDescent="0.35"/>
    <row r="286" spans="11:12" ht="15.75" customHeight="1" x14ac:dyDescent="0.35"/>
    <row r="287" spans="11:12" ht="15.75" customHeight="1" x14ac:dyDescent="0.35"/>
    <row r="288" spans="11:12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7">
    <mergeCell ref="B60:M60"/>
    <mergeCell ref="O60:Z60"/>
    <mergeCell ref="C73:E73"/>
    <mergeCell ref="P73:R73"/>
    <mergeCell ref="C74:E74"/>
    <mergeCell ref="P74:R74"/>
    <mergeCell ref="C56:E56"/>
    <mergeCell ref="P56:R56"/>
    <mergeCell ref="C57:E57"/>
    <mergeCell ref="P57:R57"/>
    <mergeCell ref="B58:K58"/>
    <mergeCell ref="O58:T58"/>
    <mergeCell ref="C39:E39"/>
    <mergeCell ref="P39:R39"/>
    <mergeCell ref="C40:E40"/>
    <mergeCell ref="P40:R40"/>
    <mergeCell ref="B43:M43"/>
    <mergeCell ref="O43:Z43"/>
    <mergeCell ref="A6:M6"/>
    <mergeCell ref="B9:M9"/>
    <mergeCell ref="O9:Z9"/>
    <mergeCell ref="C22:E22"/>
    <mergeCell ref="P22:R22"/>
    <mergeCell ref="C23:E23"/>
    <mergeCell ref="P23:R23"/>
    <mergeCell ref="B26:M26"/>
    <mergeCell ref="O26:Z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2023-03-14T03:33:52Z</dcterms:created>
  <dcterms:modified xsi:type="dcterms:W3CDTF">2023-03-14T04:36:21Z</dcterms:modified>
</cp:coreProperties>
</file>