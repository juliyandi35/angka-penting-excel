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Angka Penting\"/>
    </mc:Choice>
  </mc:AlternateContent>
  <xr:revisionPtr revIDLastSave="0" documentId="8_{25DE067B-46EF-4274-8319-7AE62EDE5406}" xr6:coauthVersionLast="47" xr6:coauthVersionMax="47" xr10:uidLastSave="{00000000-0000-0000-0000-000000000000}"/>
  <bookViews>
    <workbookView xWindow="-110" yWindow="-110" windowWidth="19420" windowHeight="10300" xr2:uid="{56C7A6EE-F8AA-48B2-A34E-A52FBC458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I39" i="1"/>
  <c r="J31" i="1"/>
  <c r="I31" i="1"/>
  <c r="G31" i="1"/>
  <c r="I23" i="1"/>
  <c r="I22" i="1"/>
  <c r="I21" i="1"/>
  <c r="I20" i="1"/>
  <c r="I19" i="1"/>
  <c r="I18" i="1"/>
  <c r="I17" i="1"/>
  <c r="I16" i="1"/>
  <c r="I15" i="1"/>
  <c r="AE14" i="1"/>
  <c r="J40" i="1" s="1"/>
  <c r="AA14" i="1"/>
  <c r="AB14" i="1" s="1"/>
  <c r="Y14" i="1"/>
  <c r="X14" i="1"/>
  <c r="Y23" i="1" s="1"/>
  <c r="W14" i="1"/>
  <c r="S14" i="1"/>
  <c r="T14" i="1" s="1"/>
  <c r="O14" i="1"/>
  <c r="P14" i="1" s="1"/>
  <c r="H14" i="1"/>
  <c r="I14" i="1" s="1"/>
  <c r="G14" i="1"/>
  <c r="D14" i="1"/>
  <c r="E14" i="1" s="1"/>
  <c r="C14" i="1"/>
  <c r="O10" i="1"/>
  <c r="K10" i="1"/>
  <c r="K14" i="1" s="1"/>
  <c r="I25" i="1" l="1"/>
  <c r="I24" i="1"/>
  <c r="I41" i="1"/>
  <c r="AC14" i="1"/>
  <c r="AC23" i="1"/>
  <c r="AC22" i="1"/>
  <c r="AC21" i="1"/>
  <c r="AC20" i="1"/>
  <c r="AC19" i="1"/>
  <c r="AC18" i="1"/>
  <c r="AC17" i="1"/>
  <c r="AC16" i="1"/>
  <c r="AC15" i="1"/>
  <c r="Q23" i="1"/>
  <c r="Q22" i="1"/>
  <c r="Q21" i="1"/>
  <c r="Q20" i="1"/>
  <c r="Q19" i="1"/>
  <c r="Q18" i="1"/>
  <c r="Q17" i="1"/>
  <c r="Q16" i="1"/>
  <c r="Q15" i="1"/>
  <c r="Q14" i="1"/>
  <c r="J33" i="1"/>
  <c r="U16" i="1"/>
  <c r="U14" i="1"/>
  <c r="U23" i="1"/>
  <c r="U22" i="1"/>
  <c r="U21" i="1"/>
  <c r="U20" i="1"/>
  <c r="U19" i="1"/>
  <c r="U18" i="1"/>
  <c r="U17" i="1"/>
  <c r="U15" i="1"/>
  <c r="I32" i="1"/>
  <c r="L14" i="1"/>
  <c r="Y15" i="1"/>
  <c r="Y25" i="1" s="1"/>
  <c r="Y16" i="1"/>
  <c r="Y17" i="1"/>
  <c r="Y18" i="1"/>
  <c r="Y19" i="1"/>
  <c r="Y20" i="1"/>
  <c r="Y21" i="1"/>
  <c r="Y22" i="1"/>
  <c r="Y24" i="1"/>
  <c r="I40" i="1"/>
  <c r="AF14" i="1"/>
  <c r="J32" i="1"/>
  <c r="E15" i="1"/>
  <c r="E16" i="1"/>
  <c r="E17" i="1"/>
  <c r="E24" i="1" s="1"/>
  <c r="E18" i="1"/>
  <c r="E19" i="1"/>
  <c r="E25" i="1" s="1"/>
  <c r="E20" i="1"/>
  <c r="E21" i="1"/>
  <c r="E22" i="1"/>
  <c r="E23" i="1"/>
  <c r="Q25" i="1" l="1"/>
  <c r="J35" i="1" s="1"/>
  <c r="Q24" i="1"/>
  <c r="J34" i="1" s="1"/>
  <c r="M21" i="1"/>
  <c r="M20" i="1"/>
  <c r="M19" i="1"/>
  <c r="M18" i="1"/>
  <c r="M17" i="1"/>
  <c r="M16" i="1"/>
  <c r="M15" i="1"/>
  <c r="M14" i="1"/>
  <c r="M22" i="1"/>
  <c r="I33" i="1"/>
  <c r="M23" i="1"/>
  <c r="U24" i="1"/>
  <c r="U25" i="1"/>
  <c r="AC25" i="1"/>
  <c r="I43" i="1" s="1"/>
  <c r="AC24" i="1"/>
  <c r="I42" i="1" s="1"/>
  <c r="J41" i="1"/>
  <c r="AG23" i="1"/>
  <c r="AG22" i="1"/>
  <c r="AG21" i="1"/>
  <c r="AG20" i="1"/>
  <c r="AG19" i="1"/>
  <c r="AG18" i="1"/>
  <c r="AG17" i="1"/>
  <c r="AG16" i="1"/>
  <c r="AG15" i="1"/>
  <c r="AG14" i="1"/>
  <c r="M25" i="1" l="1"/>
  <c r="I35" i="1" s="1"/>
  <c r="M24" i="1"/>
  <c r="I34" i="1" s="1"/>
  <c r="AG25" i="1"/>
  <c r="J43" i="1" s="1"/>
  <c r="AG24" i="1"/>
  <c r="J42" i="1" s="1"/>
</calcChain>
</file>

<file path=xl/sharedStrings.xml><?xml version="1.0" encoding="utf-8"?>
<sst xmlns="http://schemas.openxmlformats.org/spreadsheetml/2006/main" count="100" uniqueCount="24">
  <si>
    <t>D (0.5)</t>
  </si>
  <si>
    <t>mm</t>
  </si>
  <si>
    <t>D (1.0)</t>
  </si>
  <si>
    <t>D (1.5)</t>
  </si>
  <si>
    <t>D (NP)</t>
  </si>
  <si>
    <t>No</t>
  </si>
  <si>
    <t>CaCl2</t>
  </si>
  <si>
    <t>Chitosant + Asam Asetat</t>
  </si>
  <si>
    <t xml:space="preserve">P 0.5% </t>
  </si>
  <si>
    <t>P 1.0%</t>
  </si>
  <si>
    <t>P 1.5%</t>
  </si>
  <si>
    <t>Non Porogen</t>
  </si>
  <si>
    <t>F (N)</t>
  </si>
  <si>
    <t>r (mm)</t>
  </si>
  <si>
    <t>A (mm2)</t>
  </si>
  <si>
    <t>P (MPa)</t>
  </si>
  <si>
    <t>P rata-rata</t>
  </si>
  <si>
    <t>St Dev</t>
  </si>
  <si>
    <t xml:space="preserve">Rekap Uji Hardness </t>
  </si>
  <si>
    <t>P 0.5%</t>
  </si>
  <si>
    <t>NP</t>
  </si>
  <si>
    <t>A (mm^2)</t>
  </si>
  <si>
    <t>Average</t>
  </si>
  <si>
    <t>Chitosant + As. Asetat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</si>
</sst>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rgb="FF000000"/>
      <name val="Roboto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F6BD"/>
        <bgColor rgb="FFCCF6BD"/>
      </patternFill>
    </fill>
    <fill>
      <patternFill patternType="solid">
        <fgColor rgb="FFCAF2FA"/>
        <bgColor rgb="FFCAF2FA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FBFF5D"/>
        <bgColor rgb="FFFBFF5D"/>
      </patternFill>
    </fill>
    <fill>
      <patternFill patternType="solid">
        <fgColor rgb="FFFCFF8C"/>
        <bgColor rgb="FFFCFF8C"/>
      </patternFill>
    </fill>
    <fill>
      <patternFill patternType="solid">
        <fgColor rgb="FFC8FFBB"/>
        <bgColor rgb="FFC8FFBB"/>
      </patternFill>
    </fill>
    <fill>
      <patternFill patternType="solid">
        <fgColor rgb="FFEAFFBB"/>
        <bgColor rgb="FFEAFFBB"/>
      </patternFill>
    </fill>
    <fill>
      <patternFill patternType="solid">
        <fgColor rgb="FFFFF2BB"/>
        <bgColor rgb="FFFFF2BB"/>
      </patternFill>
    </fill>
    <fill>
      <patternFill patternType="solid">
        <fgColor rgb="FFF2BBFF"/>
        <bgColor rgb="FFF2BBFF"/>
      </patternFill>
    </fill>
    <fill>
      <patternFill patternType="solid">
        <fgColor rgb="FFD0BBFF"/>
        <bgColor rgb="FFD0BBFF"/>
      </patternFill>
    </fill>
    <fill>
      <patternFill patternType="solid">
        <fgColor rgb="FFBBC8FF"/>
        <bgColor rgb="FFBBC8FF"/>
      </patternFill>
    </fill>
  </fills>
  <borders count="2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5" fillId="4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7" fillId="0" borderId="5" xfId="0" applyFont="1" applyBorder="1"/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5" fillId="6" borderId="2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4" xfId="0" applyFont="1" applyBorder="1"/>
    <xf numFmtId="0" fontId="5" fillId="6" borderId="3" xfId="0" applyFont="1" applyFill="1" applyBorder="1" applyAlignment="1">
      <alignment horizontal="center" vertical="center"/>
    </xf>
    <xf numFmtId="0" fontId="7" fillId="0" borderId="8" xfId="0" applyFont="1" applyBorder="1"/>
    <xf numFmtId="0" fontId="5" fillId="7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164" fontId="7" fillId="0" borderId="7" xfId="0" applyNumberFormat="1" applyFont="1" applyBorder="1"/>
    <xf numFmtId="1" fontId="7" fillId="0" borderId="7" xfId="0" applyNumberFormat="1" applyFont="1" applyBorder="1"/>
    <xf numFmtId="164" fontId="7" fillId="0" borderId="8" xfId="0" applyNumberFormat="1" applyFont="1" applyBorder="1"/>
    <xf numFmtId="1" fontId="7" fillId="0" borderId="8" xfId="0" applyNumberFormat="1" applyFont="1" applyBorder="1"/>
    <xf numFmtId="0" fontId="2" fillId="12" borderId="0" xfId="0" applyFont="1" applyFill="1" applyAlignment="1">
      <alignment horizontal="center" vertical="center"/>
    </xf>
    <xf numFmtId="0" fontId="0" fillId="0" borderId="0" xfId="0"/>
    <xf numFmtId="2" fontId="2" fillId="12" borderId="0" xfId="0" applyNumberFormat="1" applyFont="1" applyFill="1" applyAlignment="1">
      <alignment horizontal="center" vertical="center"/>
    </xf>
    <xf numFmtId="165" fontId="2" fillId="12" borderId="0" xfId="0" applyNumberFormat="1" applyFont="1" applyFill="1" applyAlignment="1">
      <alignment horizontal="center" vertical="center"/>
    </xf>
    <xf numFmtId="164" fontId="2" fillId="12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2" fontId="2" fillId="13" borderId="0" xfId="0" applyNumberFormat="1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7" fillId="0" borderId="13" xfId="0" applyFont="1" applyBorder="1"/>
    <xf numFmtId="0" fontId="9" fillId="11" borderId="13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9" fillId="14" borderId="16" xfId="0" applyFont="1" applyFill="1" applyBorder="1" applyAlignment="1">
      <alignment horizontal="center" vertical="center"/>
    </xf>
    <xf numFmtId="0" fontId="9" fillId="14" borderId="17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7" fillId="0" borderId="17" xfId="0" applyFont="1" applyBorder="1"/>
    <xf numFmtId="0" fontId="1" fillId="15" borderId="17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1" fillId="16" borderId="17" xfId="0" applyFont="1" applyFill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0" fontId="7" fillId="0" borderId="19" xfId="0" applyFont="1" applyBorder="1"/>
    <xf numFmtId="0" fontId="1" fillId="0" borderId="16" xfId="0" applyFont="1" applyBorder="1" applyAlignment="1">
      <alignment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9" fillId="17" borderId="17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18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161925</xdr:rowOff>
    </xdr:from>
    <xdr:ext cx="1562100" cy="590550"/>
    <xdr:pic>
      <xdr:nvPicPr>
        <xdr:cNvPr id="2" name="image91.png" title="Image">
          <a:extLst>
            <a:ext uri="{FF2B5EF4-FFF2-40B4-BE49-F238E27FC236}">
              <a16:creationId xmlns:a16="http://schemas.microsoft.com/office/drawing/2014/main" id="{A2E6867B-E7A5-4AF1-ACA8-868E42755C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161925"/>
          <a:ext cx="156210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885825</xdr:colOff>
      <xdr:row>1</xdr:row>
      <xdr:rowOff>133350</xdr:rowOff>
    </xdr:from>
    <xdr:ext cx="1171575" cy="238125"/>
    <xdr:pic>
      <xdr:nvPicPr>
        <xdr:cNvPr id="3" name="image81.png" title="Image">
          <a:extLst>
            <a:ext uri="{FF2B5EF4-FFF2-40B4-BE49-F238E27FC236}">
              <a16:creationId xmlns:a16="http://schemas.microsoft.com/office/drawing/2014/main" id="{57AFBB13-C152-45BC-956F-2EB0E771D5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76425" y="330200"/>
          <a:ext cx="11715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3</xdr:row>
      <xdr:rowOff>200025</xdr:rowOff>
    </xdr:from>
    <xdr:ext cx="1352550" cy="285750"/>
    <xdr:pic>
      <xdr:nvPicPr>
        <xdr:cNvPr id="4" name="image86.png" title="Image">
          <a:extLst>
            <a:ext uri="{FF2B5EF4-FFF2-40B4-BE49-F238E27FC236}">
              <a16:creationId xmlns:a16="http://schemas.microsoft.com/office/drawing/2014/main" id="{0DA50025-9086-4294-A420-68C72ED76F1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8150" y="784225"/>
          <a:ext cx="1352550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5</xdr:row>
      <xdr:rowOff>200025</xdr:rowOff>
    </xdr:from>
    <xdr:ext cx="5000625" cy="352425"/>
    <xdr:pic>
      <xdr:nvPicPr>
        <xdr:cNvPr id="5" name="image88.png" title="Image">
          <a:extLst>
            <a:ext uri="{FF2B5EF4-FFF2-40B4-BE49-F238E27FC236}">
              <a16:creationId xmlns:a16="http://schemas.microsoft.com/office/drawing/2014/main" id="{4FAA7620-7686-49DC-917E-459634C00C7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38150" y="1177925"/>
          <a:ext cx="5000625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AF65-5FFB-4E87-B4FE-A6B6B6D29104}">
  <dimension ref="A1:BA985"/>
  <sheetViews>
    <sheetView tabSelected="1" topLeftCell="A25" workbookViewId="0">
      <selection sqref="A1:XFD1048576"/>
    </sheetView>
  </sheetViews>
  <sheetFormatPr defaultColWidth="12.6328125" defaultRowHeight="15" customHeight="1" x14ac:dyDescent="0.35"/>
  <cols>
    <col min="1" max="1" width="6.26953125" customWidth="1"/>
    <col min="2" max="2" width="8.90625" customWidth="1"/>
    <col min="3" max="3" width="11.7265625" customWidth="1"/>
    <col min="4" max="4" width="12" customWidth="1"/>
    <col min="5" max="5" width="13.26953125" customWidth="1"/>
    <col min="6" max="6" width="7.7265625" customWidth="1"/>
    <col min="7" max="7" width="14.36328125" customWidth="1"/>
    <col min="8" max="8" width="13.26953125" customWidth="1"/>
    <col min="9" max="9" width="13.453125" customWidth="1"/>
    <col min="10" max="10" width="13.08984375" customWidth="1"/>
    <col min="11" max="12" width="10.08984375" customWidth="1"/>
    <col min="13" max="13" width="14" customWidth="1"/>
    <col min="14" max="15" width="10.08984375" customWidth="1"/>
    <col min="16" max="16" width="10.453125" customWidth="1"/>
    <col min="17" max="17" width="13.90625" customWidth="1"/>
    <col min="18" max="18" width="8.90625" customWidth="1"/>
    <col min="19" max="19" width="12.7265625" customWidth="1"/>
    <col min="20" max="20" width="12" customWidth="1"/>
    <col min="21" max="21" width="13" customWidth="1"/>
    <col min="22" max="22" width="9.26953125" customWidth="1"/>
    <col min="23" max="23" width="12.453125" customWidth="1"/>
    <col min="24" max="24" width="12.26953125" customWidth="1"/>
    <col min="25" max="25" width="13.7265625" customWidth="1"/>
    <col min="26" max="26" width="9" customWidth="1"/>
    <col min="27" max="27" width="11.26953125" customWidth="1"/>
    <col min="28" max="28" width="12.7265625" customWidth="1"/>
    <col min="29" max="29" width="13" customWidth="1"/>
    <col min="30" max="30" width="7.7265625" customWidth="1"/>
  </cols>
  <sheetData>
    <row r="1" spans="1:53" ht="15.75" customHeight="1" x14ac:dyDescent="0.35">
      <c r="E1" s="1"/>
      <c r="F1" s="1"/>
      <c r="G1" s="1"/>
      <c r="R1" s="2"/>
    </row>
    <row r="2" spans="1:53" ht="15.75" customHeight="1" x14ac:dyDescent="0.35"/>
    <row r="3" spans="1:53" ht="15.75" customHeight="1" x14ac:dyDescent="0.35"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5.75" customHeight="1" x14ac:dyDescent="0.35"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5.75" customHeight="1" x14ac:dyDescent="0.35"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5.75" customHeight="1" x14ac:dyDescent="0.35"/>
    <row r="7" spans="1:53" ht="15.75" customHeight="1" x14ac:dyDescent="0.35"/>
    <row r="8" spans="1:53" ht="15.75" customHeight="1" x14ac:dyDescent="0.35"/>
    <row r="9" spans="1:53" ht="15.75" customHeight="1" x14ac:dyDescent="0.35"/>
    <row r="10" spans="1:53" ht="15.75" customHeight="1" x14ac:dyDescent="0.35">
      <c r="B10" s="5" t="s">
        <v>0</v>
      </c>
      <c r="C10" s="6">
        <v>1.4355264249999999</v>
      </c>
      <c r="D10" s="5" t="s">
        <v>1</v>
      </c>
      <c r="F10" s="1" t="s">
        <v>2</v>
      </c>
      <c r="G10" s="5">
        <v>1.6089098500000001</v>
      </c>
      <c r="H10" s="5" t="s">
        <v>1</v>
      </c>
      <c r="J10" s="5" t="s">
        <v>3</v>
      </c>
      <c r="K10" s="7">
        <f>1575.55/1000</f>
        <v>1.57555</v>
      </c>
      <c r="L10" s="5" t="s">
        <v>1</v>
      </c>
      <c r="N10" s="5" t="s">
        <v>4</v>
      </c>
      <c r="O10" s="7">
        <f>1440.25/1000</f>
        <v>1.44025</v>
      </c>
      <c r="P10" s="5" t="s">
        <v>1</v>
      </c>
      <c r="R10" s="5" t="s">
        <v>0</v>
      </c>
      <c r="S10" s="6">
        <v>1.3513341750000001</v>
      </c>
      <c r="T10" s="5" t="s">
        <v>1</v>
      </c>
      <c r="V10" s="1" t="s">
        <v>2</v>
      </c>
      <c r="W10" s="5">
        <v>1.5023449250000001</v>
      </c>
      <c r="X10" s="5" t="s">
        <v>1</v>
      </c>
      <c r="Z10" s="5" t="s">
        <v>3</v>
      </c>
      <c r="AA10" s="7">
        <v>1.37025</v>
      </c>
      <c r="AB10" s="5" t="s">
        <v>1</v>
      </c>
      <c r="AD10" s="8" t="s">
        <v>4</v>
      </c>
      <c r="AE10" s="7">
        <v>1.45265</v>
      </c>
      <c r="AF10" s="5" t="s">
        <v>1</v>
      </c>
    </row>
    <row r="11" spans="1:53" ht="15.75" customHeight="1" x14ac:dyDescent="0.35">
      <c r="A11" s="9" t="s">
        <v>5</v>
      </c>
      <c r="B11" s="10" t="s">
        <v>6</v>
      </c>
      <c r="C11" s="11"/>
      <c r="D11" s="11"/>
      <c r="E11" s="11"/>
      <c r="F11" s="12" t="s">
        <v>6</v>
      </c>
      <c r="G11" s="13"/>
      <c r="H11" s="13"/>
      <c r="I11" s="13"/>
      <c r="J11" s="11"/>
      <c r="K11" s="11"/>
      <c r="L11" s="11"/>
      <c r="M11" s="11"/>
      <c r="N11" s="11"/>
      <c r="O11" s="11"/>
      <c r="P11" s="11"/>
      <c r="Q11" s="14"/>
      <c r="R11" s="15" t="s">
        <v>7</v>
      </c>
      <c r="S11" s="13"/>
      <c r="T11" s="13"/>
      <c r="U11" s="13"/>
      <c r="V11" s="16" t="s">
        <v>7</v>
      </c>
      <c r="W11" s="17"/>
      <c r="X11" s="17"/>
      <c r="Y11" s="17"/>
      <c r="Z11" s="18"/>
      <c r="AA11" s="18"/>
      <c r="AB11" s="18"/>
      <c r="AC11" s="18"/>
      <c r="AD11" s="18"/>
      <c r="AE11" s="18"/>
      <c r="AF11" s="18"/>
      <c r="AG11" s="19"/>
    </row>
    <row r="12" spans="1:53" ht="15.75" customHeight="1" x14ac:dyDescent="0.35">
      <c r="A12" s="20"/>
      <c r="B12" s="21" t="s">
        <v>8</v>
      </c>
      <c r="C12" s="13"/>
      <c r="D12" s="13"/>
      <c r="E12" s="22"/>
      <c r="F12" s="21" t="s">
        <v>9</v>
      </c>
      <c r="G12" s="13"/>
      <c r="H12" s="13"/>
      <c r="I12" s="22"/>
      <c r="J12" s="21" t="s">
        <v>10</v>
      </c>
      <c r="K12" s="13"/>
      <c r="L12" s="13"/>
      <c r="M12" s="22"/>
      <c r="N12" s="21" t="s">
        <v>11</v>
      </c>
      <c r="O12" s="13"/>
      <c r="P12" s="13"/>
      <c r="Q12" s="23"/>
      <c r="R12" s="24" t="s">
        <v>8</v>
      </c>
      <c r="S12" s="13"/>
      <c r="T12" s="13"/>
      <c r="U12" s="22"/>
      <c r="V12" s="21" t="s">
        <v>9</v>
      </c>
      <c r="W12" s="13"/>
      <c r="X12" s="13"/>
      <c r="Y12" s="22"/>
      <c r="Z12" s="21" t="s">
        <v>10</v>
      </c>
      <c r="AA12" s="13"/>
      <c r="AB12" s="13"/>
      <c r="AC12" s="22"/>
      <c r="AD12" s="21" t="s">
        <v>11</v>
      </c>
      <c r="AE12" s="13"/>
      <c r="AF12" s="13"/>
      <c r="AG12" s="22"/>
    </row>
    <row r="13" spans="1:53" ht="15.75" customHeight="1" x14ac:dyDescent="0.35">
      <c r="A13" s="25"/>
      <c r="B13" s="26" t="s">
        <v>12</v>
      </c>
      <c r="C13" s="27" t="s">
        <v>13</v>
      </c>
      <c r="D13" s="28" t="s">
        <v>14</v>
      </c>
      <c r="E13" s="29" t="s">
        <v>15</v>
      </c>
      <c r="F13" s="26" t="s">
        <v>12</v>
      </c>
      <c r="G13" s="27" t="s">
        <v>13</v>
      </c>
      <c r="H13" s="28" t="s">
        <v>14</v>
      </c>
      <c r="I13" s="29" t="s">
        <v>15</v>
      </c>
      <c r="J13" s="26" t="s">
        <v>12</v>
      </c>
      <c r="K13" s="27" t="s">
        <v>13</v>
      </c>
      <c r="L13" s="28" t="s">
        <v>14</v>
      </c>
      <c r="M13" s="29" t="s">
        <v>15</v>
      </c>
      <c r="N13" s="26" t="s">
        <v>12</v>
      </c>
      <c r="O13" s="27" t="s">
        <v>13</v>
      </c>
      <c r="P13" s="28" t="s">
        <v>14</v>
      </c>
      <c r="Q13" s="30" t="s">
        <v>15</v>
      </c>
      <c r="R13" s="31" t="s">
        <v>12</v>
      </c>
      <c r="S13" s="27" t="s">
        <v>13</v>
      </c>
      <c r="T13" s="28" t="s">
        <v>14</v>
      </c>
      <c r="U13" s="29" t="s">
        <v>15</v>
      </c>
      <c r="V13" s="26" t="s">
        <v>12</v>
      </c>
      <c r="W13" s="27" t="s">
        <v>13</v>
      </c>
      <c r="X13" s="28" t="s">
        <v>14</v>
      </c>
      <c r="Y13" s="29" t="s">
        <v>15</v>
      </c>
      <c r="Z13" s="26" t="s">
        <v>12</v>
      </c>
      <c r="AA13" s="27" t="s">
        <v>13</v>
      </c>
      <c r="AB13" s="28" t="s">
        <v>14</v>
      </c>
      <c r="AC13" s="29" t="s">
        <v>15</v>
      </c>
      <c r="AD13" s="26" t="s">
        <v>12</v>
      </c>
      <c r="AE13" s="27" t="s">
        <v>13</v>
      </c>
      <c r="AF13" s="28" t="s">
        <v>14</v>
      </c>
      <c r="AG13" s="29" t="s">
        <v>15</v>
      </c>
    </row>
    <row r="14" spans="1:53" ht="15.75" customHeight="1" x14ac:dyDescent="0.35">
      <c r="A14" s="32">
        <v>1</v>
      </c>
      <c r="B14" s="33">
        <v>0.5</v>
      </c>
      <c r="C14" s="34">
        <f>$C$10/2</f>
        <v>0.71776321249999997</v>
      </c>
      <c r="D14" s="35">
        <f>4*3.14*($C$14)^2</f>
        <v>6.4707114069821001</v>
      </c>
      <c r="E14" s="36">
        <f t="shared" ref="E14:E23" si="0">B14/$D$14</f>
        <v>7.7271256366105948E-2</v>
      </c>
      <c r="F14" s="33">
        <v>0.4</v>
      </c>
      <c r="G14" s="34">
        <f>$G$10/2</f>
        <v>0.80445492500000004</v>
      </c>
      <c r="H14" s="35">
        <f>4*3.14*($G$14)^2</f>
        <v>8.1281754430408508</v>
      </c>
      <c r="I14" s="36">
        <f t="shared" ref="I14:I23" si="1">F14/$H$14</f>
        <v>4.9211536193214243E-2</v>
      </c>
      <c r="J14" s="37">
        <v>0.2</v>
      </c>
      <c r="K14" s="34">
        <f>$K$10/2</f>
        <v>0.787775</v>
      </c>
      <c r="L14" s="35">
        <f>4*3.14*($K$14)^2</f>
        <v>7.7946034998500009</v>
      </c>
      <c r="M14" s="36">
        <f t="shared" ref="M14:M23" si="2">J14/$L$14</f>
        <v>2.5658777897278395E-2</v>
      </c>
      <c r="N14" s="37">
        <v>0.5</v>
      </c>
      <c r="O14" s="34">
        <f>$O$10/2</f>
        <v>0.72012500000000002</v>
      </c>
      <c r="P14" s="35">
        <f>4*3.14*($O$14)^2</f>
        <v>6.51336499625</v>
      </c>
      <c r="Q14" s="36">
        <f t="shared" ref="Q14:Q23" si="3">N14/$P$14</f>
        <v>7.6765235832456744E-2</v>
      </c>
      <c r="R14" s="38">
        <v>2.1</v>
      </c>
      <c r="S14" s="34">
        <f>$S$10/2</f>
        <v>0.67566708750000004</v>
      </c>
      <c r="T14" s="35">
        <f>4*3.14*($S$14)^2</f>
        <v>5.733966724922003</v>
      </c>
      <c r="U14" s="39">
        <f t="shared" ref="U14:U23" si="4">R14/$T$14</f>
        <v>0.3662386094555799</v>
      </c>
      <c r="V14" s="40">
        <v>0.9</v>
      </c>
      <c r="W14" s="34">
        <f>$W$10/2</f>
        <v>0.75117246250000003</v>
      </c>
      <c r="X14" s="35">
        <f>4*3.14*($W$14)^2</f>
        <v>7.0871064593340245</v>
      </c>
      <c r="Y14" s="39">
        <f t="shared" ref="Y14:Y23" si="5">V14/$X$14</f>
        <v>0.12699117829881915</v>
      </c>
      <c r="Z14" s="41">
        <v>0.5</v>
      </c>
      <c r="AA14" s="34">
        <f>$AA$10/2</f>
        <v>0.68512499999999998</v>
      </c>
      <c r="AB14" s="35">
        <f>4*3.14*($AA$14)^2</f>
        <v>5.8956170962499996</v>
      </c>
      <c r="AC14" s="36">
        <f t="shared" ref="AC14:AC23" si="6">Z14/$AB$14</f>
        <v>8.4808764178059132E-2</v>
      </c>
      <c r="AD14" s="41">
        <v>0.4</v>
      </c>
      <c r="AE14" s="34">
        <f>$AE$10/2</f>
        <v>0.726325</v>
      </c>
      <c r="AF14" s="35">
        <f>4*3.14*($AE$14)^2</f>
        <v>6.6260029506500011</v>
      </c>
      <c r="AG14" s="36">
        <f t="shared" ref="AG14:AG23" si="7">AD14/$AF$14</f>
        <v>6.0368219419636784E-2</v>
      </c>
    </row>
    <row r="15" spans="1:53" ht="15.75" customHeight="1" x14ac:dyDescent="0.35">
      <c r="A15" s="32">
        <v>2</v>
      </c>
      <c r="B15" s="33">
        <v>0.4</v>
      </c>
      <c r="C15" s="42"/>
      <c r="D15" s="43"/>
      <c r="E15" s="36">
        <f t="shared" si="0"/>
        <v>6.1817005092884764E-2</v>
      </c>
      <c r="F15" s="33">
        <v>0.4</v>
      </c>
      <c r="G15" s="42"/>
      <c r="H15" s="43"/>
      <c r="I15" s="36">
        <f t="shared" si="1"/>
        <v>4.9211536193214243E-2</v>
      </c>
      <c r="J15" s="37">
        <v>0.2</v>
      </c>
      <c r="K15" s="42"/>
      <c r="L15" s="43"/>
      <c r="M15" s="36">
        <f t="shared" si="2"/>
        <v>2.5658777897278395E-2</v>
      </c>
      <c r="N15" s="37">
        <v>0.5</v>
      </c>
      <c r="O15" s="42"/>
      <c r="P15" s="43"/>
      <c r="Q15" s="36">
        <f t="shared" si="3"/>
        <v>7.6765235832456744E-2</v>
      </c>
      <c r="R15" s="38">
        <v>1.9</v>
      </c>
      <c r="S15" s="42"/>
      <c r="T15" s="43"/>
      <c r="U15" s="39">
        <f t="shared" si="4"/>
        <v>0.33135874188838182</v>
      </c>
      <c r="V15" s="40">
        <v>0.9</v>
      </c>
      <c r="W15" s="42"/>
      <c r="X15" s="43"/>
      <c r="Y15" s="39">
        <f t="shared" si="5"/>
        <v>0.12699117829881915</v>
      </c>
      <c r="Z15" s="41">
        <v>0.4</v>
      </c>
      <c r="AA15" s="42"/>
      <c r="AB15" s="43"/>
      <c r="AC15" s="36">
        <f t="shared" si="6"/>
        <v>6.7847011342447319E-2</v>
      </c>
      <c r="AD15" s="41">
        <v>0.3</v>
      </c>
      <c r="AE15" s="42"/>
      <c r="AF15" s="43"/>
      <c r="AG15" s="36">
        <f t="shared" si="7"/>
        <v>4.5276164564727585E-2</v>
      </c>
    </row>
    <row r="16" spans="1:53" ht="15.75" customHeight="1" x14ac:dyDescent="0.35">
      <c r="A16" s="32">
        <v>3</v>
      </c>
      <c r="B16" s="33">
        <v>0.4</v>
      </c>
      <c r="C16" s="42"/>
      <c r="D16" s="43"/>
      <c r="E16" s="36">
        <f t="shared" si="0"/>
        <v>6.1817005092884764E-2</v>
      </c>
      <c r="F16" s="33">
        <v>0.3</v>
      </c>
      <c r="G16" s="42"/>
      <c r="H16" s="43"/>
      <c r="I16" s="36">
        <f t="shared" si="1"/>
        <v>3.6908652144910674E-2</v>
      </c>
      <c r="J16" s="37">
        <v>0.2</v>
      </c>
      <c r="K16" s="42"/>
      <c r="L16" s="43"/>
      <c r="M16" s="36">
        <f t="shared" si="2"/>
        <v>2.5658777897278395E-2</v>
      </c>
      <c r="N16" s="37">
        <v>0.4</v>
      </c>
      <c r="O16" s="42"/>
      <c r="P16" s="43"/>
      <c r="Q16" s="36">
        <f t="shared" si="3"/>
        <v>6.14121886659654E-2</v>
      </c>
      <c r="R16" s="38">
        <v>1.8</v>
      </c>
      <c r="S16" s="42"/>
      <c r="T16" s="43"/>
      <c r="U16" s="39">
        <f t="shared" si="4"/>
        <v>0.31391880810478279</v>
      </c>
      <c r="V16" s="40">
        <v>0.9</v>
      </c>
      <c r="W16" s="42"/>
      <c r="X16" s="43"/>
      <c r="Y16" s="39">
        <f t="shared" si="5"/>
        <v>0.12699117829881915</v>
      </c>
      <c r="Z16" s="41">
        <v>0.4</v>
      </c>
      <c r="AA16" s="42"/>
      <c r="AB16" s="43"/>
      <c r="AC16" s="36">
        <f t="shared" si="6"/>
        <v>6.7847011342447319E-2</v>
      </c>
      <c r="AD16" s="41">
        <v>0.3</v>
      </c>
      <c r="AE16" s="42"/>
      <c r="AF16" s="43"/>
      <c r="AG16" s="36">
        <f t="shared" si="7"/>
        <v>4.5276164564727585E-2</v>
      </c>
    </row>
    <row r="17" spans="1:53" ht="15.75" customHeight="1" x14ac:dyDescent="0.35">
      <c r="A17" s="32">
        <v>4</v>
      </c>
      <c r="B17" s="33">
        <v>0.4</v>
      </c>
      <c r="C17" s="42"/>
      <c r="D17" s="43"/>
      <c r="E17" s="36">
        <f t="shared" si="0"/>
        <v>6.1817005092884764E-2</v>
      </c>
      <c r="F17" s="33">
        <v>0.3</v>
      </c>
      <c r="G17" s="42"/>
      <c r="H17" s="43"/>
      <c r="I17" s="36">
        <f t="shared" si="1"/>
        <v>3.6908652144910674E-2</v>
      </c>
      <c r="J17" s="37">
        <v>0.2</v>
      </c>
      <c r="K17" s="42"/>
      <c r="L17" s="43"/>
      <c r="M17" s="36">
        <f t="shared" si="2"/>
        <v>2.5658777897278395E-2</v>
      </c>
      <c r="N17" s="37">
        <v>0.4</v>
      </c>
      <c r="O17" s="42"/>
      <c r="P17" s="43"/>
      <c r="Q17" s="36">
        <f t="shared" si="3"/>
        <v>6.14121886659654E-2</v>
      </c>
      <c r="R17" s="38">
        <v>1.8</v>
      </c>
      <c r="S17" s="42"/>
      <c r="T17" s="43"/>
      <c r="U17" s="39">
        <f t="shared" si="4"/>
        <v>0.31391880810478279</v>
      </c>
      <c r="V17" s="40">
        <v>0.9</v>
      </c>
      <c r="W17" s="42"/>
      <c r="X17" s="43"/>
      <c r="Y17" s="39">
        <f t="shared" si="5"/>
        <v>0.12699117829881915</v>
      </c>
      <c r="Z17" s="41">
        <v>0.3</v>
      </c>
      <c r="AA17" s="42"/>
      <c r="AB17" s="43"/>
      <c r="AC17" s="36">
        <f t="shared" si="6"/>
        <v>5.0885258506835479E-2</v>
      </c>
      <c r="AD17" s="41">
        <v>0.3</v>
      </c>
      <c r="AE17" s="42"/>
      <c r="AF17" s="43"/>
      <c r="AG17" s="36">
        <f t="shared" si="7"/>
        <v>4.5276164564727585E-2</v>
      </c>
    </row>
    <row r="18" spans="1:53" ht="15.75" customHeight="1" x14ac:dyDescent="0.35">
      <c r="A18" s="32">
        <v>5</v>
      </c>
      <c r="B18" s="33">
        <v>0.4</v>
      </c>
      <c r="C18" s="42"/>
      <c r="D18" s="43"/>
      <c r="E18" s="36">
        <f t="shared" si="0"/>
        <v>6.1817005092884764E-2</v>
      </c>
      <c r="F18" s="33">
        <v>0.3</v>
      </c>
      <c r="G18" s="42"/>
      <c r="H18" s="43"/>
      <c r="I18" s="36">
        <f t="shared" si="1"/>
        <v>3.6908652144910674E-2</v>
      </c>
      <c r="J18" s="37">
        <v>0.2</v>
      </c>
      <c r="K18" s="42"/>
      <c r="L18" s="43"/>
      <c r="M18" s="36">
        <f t="shared" si="2"/>
        <v>2.5658777897278395E-2</v>
      </c>
      <c r="N18" s="37">
        <v>0.4</v>
      </c>
      <c r="O18" s="42"/>
      <c r="P18" s="43"/>
      <c r="Q18" s="36">
        <f t="shared" si="3"/>
        <v>6.14121886659654E-2</v>
      </c>
      <c r="R18" s="38">
        <v>1.8</v>
      </c>
      <c r="S18" s="42"/>
      <c r="T18" s="43"/>
      <c r="U18" s="39">
        <f t="shared" si="4"/>
        <v>0.31391880810478279</v>
      </c>
      <c r="V18" s="40">
        <v>0.9</v>
      </c>
      <c r="W18" s="42"/>
      <c r="X18" s="43"/>
      <c r="Y18" s="39">
        <f t="shared" si="5"/>
        <v>0.12699117829881915</v>
      </c>
      <c r="Z18" s="41">
        <v>0.3</v>
      </c>
      <c r="AA18" s="42"/>
      <c r="AB18" s="43"/>
      <c r="AC18" s="36">
        <f t="shared" si="6"/>
        <v>5.0885258506835479E-2</v>
      </c>
      <c r="AD18" s="41">
        <v>0.3</v>
      </c>
      <c r="AE18" s="42"/>
      <c r="AF18" s="43"/>
      <c r="AG18" s="36">
        <f t="shared" si="7"/>
        <v>4.5276164564727585E-2</v>
      </c>
    </row>
    <row r="19" spans="1:53" ht="15.75" customHeight="1" x14ac:dyDescent="0.35">
      <c r="A19" s="32">
        <v>6</v>
      </c>
      <c r="B19" s="33">
        <v>0.3</v>
      </c>
      <c r="C19" s="42"/>
      <c r="D19" s="43"/>
      <c r="E19" s="36">
        <f t="shared" si="0"/>
        <v>4.6362753819663566E-2</v>
      </c>
      <c r="F19" s="33">
        <v>0.3</v>
      </c>
      <c r="G19" s="42"/>
      <c r="H19" s="43"/>
      <c r="I19" s="36">
        <f t="shared" si="1"/>
        <v>3.6908652144910674E-2</v>
      </c>
      <c r="J19" s="37">
        <v>0.2</v>
      </c>
      <c r="K19" s="42"/>
      <c r="L19" s="43"/>
      <c r="M19" s="36">
        <f t="shared" si="2"/>
        <v>2.5658777897278395E-2</v>
      </c>
      <c r="N19" s="37">
        <v>0.4</v>
      </c>
      <c r="O19" s="42"/>
      <c r="P19" s="43"/>
      <c r="Q19" s="36">
        <f t="shared" si="3"/>
        <v>6.14121886659654E-2</v>
      </c>
      <c r="R19" s="38">
        <v>1.7</v>
      </c>
      <c r="S19" s="42"/>
      <c r="T19" s="43"/>
      <c r="U19" s="39">
        <f t="shared" si="4"/>
        <v>0.29647887432118369</v>
      </c>
      <c r="V19" s="40">
        <v>0.8</v>
      </c>
      <c r="W19" s="42"/>
      <c r="X19" s="43"/>
      <c r="Y19" s="39">
        <f t="shared" si="5"/>
        <v>0.11288104737672815</v>
      </c>
      <c r="Z19" s="41">
        <v>0.3</v>
      </c>
      <c r="AA19" s="42"/>
      <c r="AB19" s="43"/>
      <c r="AC19" s="36">
        <f t="shared" si="6"/>
        <v>5.0885258506835479E-2</v>
      </c>
      <c r="AD19" s="41">
        <v>0.3</v>
      </c>
      <c r="AE19" s="42"/>
      <c r="AF19" s="43"/>
      <c r="AG19" s="36">
        <f t="shared" si="7"/>
        <v>4.5276164564727585E-2</v>
      </c>
    </row>
    <row r="20" spans="1:53" ht="15.75" customHeight="1" x14ac:dyDescent="0.35">
      <c r="A20" s="32">
        <v>7</v>
      </c>
      <c r="B20" s="33">
        <v>0.3</v>
      </c>
      <c r="C20" s="42"/>
      <c r="D20" s="43"/>
      <c r="E20" s="36">
        <f t="shared" si="0"/>
        <v>4.6362753819663566E-2</v>
      </c>
      <c r="F20" s="33">
        <v>0.3</v>
      </c>
      <c r="G20" s="42"/>
      <c r="H20" s="43"/>
      <c r="I20" s="36">
        <f t="shared" si="1"/>
        <v>3.6908652144910674E-2</v>
      </c>
      <c r="J20" s="37">
        <v>0.2</v>
      </c>
      <c r="K20" s="42"/>
      <c r="L20" s="43"/>
      <c r="M20" s="36">
        <f t="shared" si="2"/>
        <v>2.5658777897278395E-2</v>
      </c>
      <c r="N20" s="37">
        <v>0.3</v>
      </c>
      <c r="O20" s="42"/>
      <c r="P20" s="43"/>
      <c r="Q20" s="36">
        <f t="shared" si="3"/>
        <v>4.6059141499474043E-2</v>
      </c>
      <c r="R20" s="38">
        <v>1.7</v>
      </c>
      <c r="S20" s="42"/>
      <c r="T20" s="43"/>
      <c r="U20" s="39">
        <f t="shared" si="4"/>
        <v>0.29647887432118369</v>
      </c>
      <c r="V20" s="40">
        <v>0.8</v>
      </c>
      <c r="W20" s="42"/>
      <c r="X20" s="43"/>
      <c r="Y20" s="39">
        <f t="shared" si="5"/>
        <v>0.11288104737672815</v>
      </c>
      <c r="Z20" s="41">
        <v>0.2</v>
      </c>
      <c r="AA20" s="42"/>
      <c r="AB20" s="43"/>
      <c r="AC20" s="36">
        <f t="shared" si="6"/>
        <v>3.392350567122366E-2</v>
      </c>
      <c r="AD20" s="41">
        <v>0.3</v>
      </c>
      <c r="AE20" s="42"/>
      <c r="AF20" s="43"/>
      <c r="AG20" s="36">
        <f t="shared" si="7"/>
        <v>4.5276164564727585E-2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5.75" customHeight="1" x14ac:dyDescent="0.35">
      <c r="A21" s="32">
        <v>8</v>
      </c>
      <c r="B21" s="33">
        <v>0.3</v>
      </c>
      <c r="C21" s="42"/>
      <c r="D21" s="43"/>
      <c r="E21" s="36">
        <f t="shared" si="0"/>
        <v>4.6362753819663566E-2</v>
      </c>
      <c r="F21" s="33">
        <v>0.3</v>
      </c>
      <c r="G21" s="42"/>
      <c r="H21" s="43"/>
      <c r="I21" s="36">
        <f t="shared" si="1"/>
        <v>3.6908652144910674E-2</v>
      </c>
      <c r="J21" s="37">
        <v>0.1</v>
      </c>
      <c r="K21" s="42"/>
      <c r="L21" s="43"/>
      <c r="M21" s="36">
        <f t="shared" si="2"/>
        <v>1.2829388948639197E-2</v>
      </c>
      <c r="N21" s="37">
        <v>0.2</v>
      </c>
      <c r="O21" s="42"/>
      <c r="P21" s="43"/>
      <c r="Q21" s="36">
        <f t="shared" si="3"/>
        <v>3.07060943329827E-2</v>
      </c>
      <c r="R21" s="38">
        <v>1.6</v>
      </c>
      <c r="S21" s="42"/>
      <c r="T21" s="43"/>
      <c r="U21" s="39">
        <f t="shared" si="4"/>
        <v>0.27903894053758471</v>
      </c>
      <c r="V21" s="40">
        <v>0.8</v>
      </c>
      <c r="W21" s="42"/>
      <c r="X21" s="43"/>
      <c r="Y21" s="39">
        <f t="shared" si="5"/>
        <v>0.11288104737672815</v>
      </c>
      <c r="Z21" s="41">
        <v>0.2</v>
      </c>
      <c r="AA21" s="42"/>
      <c r="AB21" s="43"/>
      <c r="AC21" s="36">
        <f t="shared" si="6"/>
        <v>3.392350567122366E-2</v>
      </c>
      <c r="AD21" s="41">
        <v>0.3</v>
      </c>
      <c r="AE21" s="42"/>
      <c r="AF21" s="43"/>
      <c r="AG21" s="36">
        <f t="shared" si="7"/>
        <v>4.5276164564727585E-2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5.75" customHeight="1" x14ac:dyDescent="0.35">
      <c r="A22" s="32">
        <v>9</v>
      </c>
      <c r="B22" s="33">
        <v>0.3</v>
      </c>
      <c r="C22" s="42"/>
      <c r="D22" s="43"/>
      <c r="E22" s="36">
        <f t="shared" si="0"/>
        <v>4.6362753819663566E-2</v>
      </c>
      <c r="F22" s="33">
        <v>0.3</v>
      </c>
      <c r="G22" s="42"/>
      <c r="H22" s="43"/>
      <c r="I22" s="36">
        <f t="shared" si="1"/>
        <v>3.6908652144910674E-2</v>
      </c>
      <c r="J22" s="37">
        <v>0.1</v>
      </c>
      <c r="K22" s="42"/>
      <c r="L22" s="43"/>
      <c r="M22" s="36">
        <f t="shared" si="2"/>
        <v>1.2829388948639197E-2</v>
      </c>
      <c r="N22" s="37">
        <v>0.2</v>
      </c>
      <c r="O22" s="42"/>
      <c r="P22" s="43"/>
      <c r="Q22" s="36">
        <f t="shared" si="3"/>
        <v>3.07060943329827E-2</v>
      </c>
      <c r="R22" s="38">
        <v>1.6</v>
      </c>
      <c r="S22" s="42"/>
      <c r="T22" s="43"/>
      <c r="U22" s="39">
        <f t="shared" si="4"/>
        <v>0.27903894053758471</v>
      </c>
      <c r="V22" s="40">
        <v>0.8</v>
      </c>
      <c r="W22" s="42"/>
      <c r="X22" s="43"/>
      <c r="Y22" s="39">
        <f t="shared" si="5"/>
        <v>0.11288104737672815</v>
      </c>
      <c r="Z22" s="41">
        <v>0.2</v>
      </c>
      <c r="AA22" s="42"/>
      <c r="AB22" s="43"/>
      <c r="AC22" s="36">
        <f t="shared" si="6"/>
        <v>3.392350567122366E-2</v>
      </c>
      <c r="AD22" s="41">
        <v>0.3</v>
      </c>
      <c r="AE22" s="42"/>
      <c r="AF22" s="43"/>
      <c r="AG22" s="36">
        <f t="shared" si="7"/>
        <v>4.5276164564727585E-2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5.75" customHeight="1" x14ac:dyDescent="0.35">
      <c r="A23" s="32">
        <v>10</v>
      </c>
      <c r="B23" s="33">
        <v>0.3</v>
      </c>
      <c r="C23" s="44"/>
      <c r="D23" s="45"/>
      <c r="E23" s="36">
        <f t="shared" si="0"/>
        <v>4.6362753819663566E-2</v>
      </c>
      <c r="F23" s="33">
        <v>0.2</v>
      </c>
      <c r="G23" s="44"/>
      <c r="H23" s="45"/>
      <c r="I23" s="36">
        <f t="shared" si="1"/>
        <v>2.4605768096607122E-2</v>
      </c>
      <c r="J23" s="37">
        <v>0.1</v>
      </c>
      <c r="K23" s="44"/>
      <c r="L23" s="45"/>
      <c r="M23" s="36">
        <f t="shared" si="2"/>
        <v>1.2829388948639197E-2</v>
      </c>
      <c r="N23" s="37">
        <v>0.2</v>
      </c>
      <c r="O23" s="44"/>
      <c r="P23" s="45"/>
      <c r="Q23" s="36">
        <f t="shared" si="3"/>
        <v>3.07060943329827E-2</v>
      </c>
      <c r="R23" s="38">
        <v>1.6</v>
      </c>
      <c r="S23" s="44"/>
      <c r="T23" s="45"/>
      <c r="U23" s="39">
        <f t="shared" si="4"/>
        <v>0.27903894053758471</v>
      </c>
      <c r="V23" s="40">
        <v>0.8</v>
      </c>
      <c r="W23" s="44"/>
      <c r="X23" s="45"/>
      <c r="Y23" s="39">
        <f t="shared" si="5"/>
        <v>0.11288104737672815</v>
      </c>
      <c r="Z23" s="41">
        <v>0.2</v>
      </c>
      <c r="AA23" s="44"/>
      <c r="AB23" s="45"/>
      <c r="AC23" s="36">
        <f t="shared" si="6"/>
        <v>3.392350567122366E-2</v>
      </c>
      <c r="AD23" s="41">
        <v>0.3</v>
      </c>
      <c r="AE23" s="44"/>
      <c r="AF23" s="45"/>
      <c r="AG23" s="36">
        <f t="shared" si="7"/>
        <v>4.5276164564727585E-2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5.75" customHeight="1" x14ac:dyDescent="0.35">
      <c r="A24" s="46" t="s">
        <v>16</v>
      </c>
      <c r="B24" s="47"/>
      <c r="C24" s="47"/>
      <c r="D24" s="47"/>
      <c r="E24" s="48">
        <f>SUM(E10:E23)/25</f>
        <v>2.2254121833438521E-2</v>
      </c>
      <c r="F24" s="46" t="s">
        <v>16</v>
      </c>
      <c r="G24" s="47"/>
      <c r="H24" s="47"/>
      <c r="I24" s="48">
        <f>SUM(I10:I23)/25</f>
        <v>1.5255576219896413E-2</v>
      </c>
      <c r="J24" s="46" t="s">
        <v>16</v>
      </c>
      <c r="K24" s="47"/>
      <c r="L24" s="47"/>
      <c r="M24" s="49">
        <f>SUM(M10:M23)/25</f>
        <v>8.7239844850746529E-3</v>
      </c>
      <c r="N24" s="46" t="s">
        <v>16</v>
      </c>
      <c r="O24" s="47"/>
      <c r="P24" s="47"/>
      <c r="Q24" s="48">
        <f>SUM(Q10:Q23)/25</f>
        <v>2.1494266033087888E-2</v>
      </c>
      <c r="R24" s="46" t="s">
        <v>16</v>
      </c>
      <c r="S24" s="47"/>
      <c r="T24" s="47"/>
      <c r="U24" s="50">
        <f>SUM(U10:U23)/25</f>
        <v>0.12277713383653727</v>
      </c>
      <c r="V24" s="46" t="s">
        <v>16</v>
      </c>
      <c r="W24" s="47"/>
      <c r="X24" s="47"/>
      <c r="Y24" s="48">
        <f>SUM(Y10:Y23)/25</f>
        <v>4.7974445135109456E-2</v>
      </c>
      <c r="Z24" s="46" t="s">
        <v>16</v>
      </c>
      <c r="AA24" s="47"/>
      <c r="AB24" s="47"/>
      <c r="AC24" s="48">
        <f>SUM(AC10:AC23)/25</f>
        <v>2.0354103402734188E-2</v>
      </c>
      <c r="AD24" s="46" t="s">
        <v>16</v>
      </c>
      <c r="AE24" s="47"/>
      <c r="AF24" s="47"/>
      <c r="AG24" s="48">
        <f>SUM(AG10:AG23)/25</f>
        <v>1.8714148020087404E-2</v>
      </c>
    </row>
    <row r="25" spans="1:53" ht="15.75" customHeight="1" x14ac:dyDescent="0.35">
      <c r="A25" s="51" t="s">
        <v>17</v>
      </c>
      <c r="B25" s="47"/>
      <c r="C25" s="47"/>
      <c r="D25" s="47"/>
      <c r="E25" s="52">
        <f>STDEV(E14:E23)</f>
        <v>1.0805703651466065E-2</v>
      </c>
      <c r="F25" s="51" t="s">
        <v>17</v>
      </c>
      <c r="G25" s="47"/>
      <c r="H25" s="47"/>
      <c r="I25" s="53">
        <f>STDEV(I14:I23)</f>
        <v>6.9836855291251342E-3</v>
      </c>
      <c r="J25" s="51" t="s">
        <v>17</v>
      </c>
      <c r="K25" s="47"/>
      <c r="L25" s="47"/>
      <c r="M25" s="53">
        <f>STDEV(M14:M23)</f>
        <v>6.1971836226043372E-3</v>
      </c>
      <c r="N25" s="51" t="s">
        <v>17</v>
      </c>
      <c r="O25" s="47"/>
      <c r="P25" s="47"/>
      <c r="Q25" s="52">
        <f>STDEV(Q14:Q23)</f>
        <v>1.8093739605504915E-2</v>
      </c>
      <c r="R25" s="51" t="s">
        <v>17</v>
      </c>
      <c r="S25" s="47"/>
      <c r="T25" s="47"/>
      <c r="U25" s="52">
        <f>STDEV(U14:U23)</f>
        <v>2.7513610580199004E-2</v>
      </c>
      <c r="V25" s="51" t="s">
        <v>17</v>
      </c>
      <c r="W25" s="47"/>
      <c r="X25" s="47"/>
      <c r="Y25" s="52">
        <f>STDEV(Y14:Y23)</f>
        <v>7.4366919661632367E-3</v>
      </c>
      <c r="Z25" s="51" t="s">
        <v>17</v>
      </c>
      <c r="AA25" s="47"/>
      <c r="AB25" s="47"/>
      <c r="AC25" s="52">
        <f>STDEV(AC14:AC23)</f>
        <v>1.7879257356451014E-2</v>
      </c>
      <c r="AD25" s="51" t="s">
        <v>17</v>
      </c>
      <c r="AE25" s="47"/>
      <c r="AF25" s="47"/>
      <c r="AG25" s="53">
        <f>STDEV(AG14:AG23)</f>
        <v>4.77252679137151E-3</v>
      </c>
    </row>
    <row r="26" spans="1:53" ht="15.75" customHeight="1" x14ac:dyDescent="0.35">
      <c r="J26" s="3"/>
      <c r="K26" s="3"/>
      <c r="L26" s="3"/>
      <c r="M26" s="3"/>
      <c r="N26" s="3"/>
      <c r="O26" s="3"/>
      <c r="P26" s="3"/>
      <c r="Q26" s="3"/>
      <c r="R26" s="2"/>
    </row>
    <row r="27" spans="1:53" ht="15.75" customHeight="1" x14ac:dyDescent="0.35"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</row>
    <row r="28" spans="1:53" ht="15.75" customHeight="1" x14ac:dyDescent="0.35">
      <c r="E28" s="55" t="s">
        <v>18</v>
      </c>
      <c r="F28" s="56"/>
      <c r="G28" s="56"/>
      <c r="H28" s="56"/>
      <c r="I28" s="57"/>
      <c r="J28" s="58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</row>
    <row r="29" spans="1:53" ht="15.75" customHeight="1" x14ac:dyDescent="0.35">
      <c r="E29" s="59" t="s">
        <v>6</v>
      </c>
      <c r="F29" s="60"/>
      <c r="G29" s="60"/>
      <c r="H29" s="60"/>
      <c r="I29" s="61"/>
      <c r="J29" s="62"/>
      <c r="R29" s="2"/>
    </row>
    <row r="30" spans="1:53" ht="15.75" customHeight="1" x14ac:dyDescent="0.35">
      <c r="E30" s="63"/>
      <c r="F30" s="64"/>
      <c r="G30" s="65" t="s">
        <v>19</v>
      </c>
      <c r="H30" s="65" t="s">
        <v>9</v>
      </c>
      <c r="I30" s="65" t="s">
        <v>10</v>
      </c>
      <c r="J30" s="65" t="s">
        <v>20</v>
      </c>
      <c r="K30" s="3"/>
      <c r="L30" s="3"/>
      <c r="M30" s="3"/>
      <c r="N30" s="3"/>
      <c r="O30" s="3"/>
      <c r="P30" s="3"/>
      <c r="R30" s="2"/>
    </row>
    <row r="31" spans="1:53" ht="15.75" customHeight="1" x14ac:dyDescent="0.35">
      <c r="E31" s="66" t="s">
        <v>12</v>
      </c>
      <c r="F31" s="64"/>
      <c r="G31" s="67">
        <f>AVERAGE(B14:B23)</f>
        <v>0.35999999999999993</v>
      </c>
      <c r="H31" s="67">
        <v>0.44800000000000001</v>
      </c>
      <c r="I31" s="67">
        <f>AVERAGE(J14:J23)</f>
        <v>0.17</v>
      </c>
      <c r="J31" s="67">
        <f>AVERAGE(N14:N23)</f>
        <v>0.35</v>
      </c>
      <c r="K31" s="3"/>
      <c r="L31" s="3"/>
      <c r="M31" s="3"/>
      <c r="N31" s="3"/>
      <c r="O31" s="3"/>
      <c r="P31" s="3"/>
      <c r="R31" s="2"/>
    </row>
    <row r="32" spans="1:53" ht="15.75" customHeight="1" x14ac:dyDescent="0.35">
      <c r="E32" s="66" t="s">
        <v>13</v>
      </c>
      <c r="F32" s="64"/>
      <c r="G32" s="67">
        <v>0.71776321249999997</v>
      </c>
      <c r="H32" s="67">
        <v>0.80445492500000004</v>
      </c>
      <c r="I32" s="67">
        <f>K14</f>
        <v>0.787775</v>
      </c>
      <c r="J32" s="67">
        <f>O14</f>
        <v>0.72012500000000002</v>
      </c>
      <c r="K32" s="3"/>
      <c r="L32" s="3"/>
      <c r="M32" s="3"/>
      <c r="N32" s="3"/>
      <c r="O32" s="3"/>
      <c r="P32" s="3"/>
      <c r="R32" s="2"/>
    </row>
    <row r="33" spans="5:53" ht="15.75" customHeight="1" x14ac:dyDescent="0.35">
      <c r="E33" s="66" t="s">
        <v>21</v>
      </c>
      <c r="F33" s="64"/>
      <c r="G33" s="68">
        <v>6.4707114069999996</v>
      </c>
      <c r="H33" s="68">
        <v>8.1281754429999999</v>
      </c>
      <c r="I33" s="68">
        <f>L14</f>
        <v>7.7946034998500009</v>
      </c>
      <c r="J33" s="68">
        <f>P14</f>
        <v>6.51336499625</v>
      </c>
      <c r="K33" s="3"/>
      <c r="L33" s="3"/>
      <c r="M33" s="3"/>
      <c r="N33" s="3"/>
      <c r="O33" s="3"/>
      <c r="P33" s="3"/>
      <c r="R33" s="2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5:53" ht="15.75" customHeight="1" x14ac:dyDescent="0.35">
      <c r="E34" s="69" t="s">
        <v>15</v>
      </c>
      <c r="F34" s="70" t="s">
        <v>22</v>
      </c>
      <c r="G34" s="71">
        <v>4.4508243670000003E-2</v>
      </c>
      <c r="H34" s="71">
        <v>5.5116920540000003E-2</v>
      </c>
      <c r="I34" s="71">
        <f t="shared" ref="I34:I35" si="8">M24</f>
        <v>8.7239844850746529E-3</v>
      </c>
      <c r="J34" s="71">
        <f t="shared" ref="J34:J35" si="9">Q24</f>
        <v>2.1494266033087888E-2</v>
      </c>
      <c r="K34" s="3"/>
      <c r="L34" s="3"/>
      <c r="M34" s="3"/>
      <c r="N34" s="3"/>
      <c r="O34" s="3"/>
      <c r="P34" s="3"/>
      <c r="R34" s="2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5:53" ht="15.75" customHeight="1" x14ac:dyDescent="0.35">
      <c r="E35" s="72"/>
      <c r="F35" s="70" t="s">
        <v>17</v>
      </c>
      <c r="G35" s="71">
        <v>1.286823577E-2</v>
      </c>
      <c r="H35" s="71">
        <v>1.8833193389999999E-2</v>
      </c>
      <c r="I35" s="71">
        <f t="shared" si="8"/>
        <v>6.1971836226043372E-3</v>
      </c>
      <c r="J35" s="71">
        <f t="shared" si="9"/>
        <v>1.8093739605504915E-2</v>
      </c>
      <c r="K35" s="3"/>
      <c r="L35" s="3"/>
      <c r="M35" s="3"/>
      <c r="N35" s="3"/>
      <c r="O35" s="3"/>
      <c r="P35" s="3"/>
      <c r="R35" s="2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5:53" ht="15.75" customHeight="1" x14ac:dyDescent="0.35">
      <c r="E36" s="73"/>
      <c r="F36" s="73"/>
      <c r="G36" s="73"/>
      <c r="H36" s="73"/>
      <c r="I36" s="73"/>
      <c r="J36" s="7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5:53" ht="15.75" customHeight="1" x14ac:dyDescent="0.35">
      <c r="E37" s="74" t="s">
        <v>23</v>
      </c>
      <c r="F37" s="60"/>
      <c r="G37" s="60"/>
      <c r="H37" s="60"/>
      <c r="I37" s="75"/>
      <c r="J37" s="76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5:53" ht="15.75" customHeight="1" x14ac:dyDescent="0.35">
      <c r="E38" s="63"/>
      <c r="F38" s="64"/>
      <c r="G38" s="77" t="s">
        <v>19</v>
      </c>
      <c r="H38" s="77" t="s">
        <v>9</v>
      </c>
      <c r="I38" s="77" t="s">
        <v>10</v>
      </c>
      <c r="J38" s="77" t="s">
        <v>20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5:53" ht="15.75" customHeight="1" x14ac:dyDescent="0.35">
      <c r="E39" s="78" t="s">
        <v>12</v>
      </c>
      <c r="F39" s="64"/>
      <c r="G39" s="68">
        <v>1.456</v>
      </c>
      <c r="H39" s="67">
        <v>0.74</v>
      </c>
      <c r="I39" s="67">
        <f>AVERAGE(Z14:Z23)</f>
        <v>0.3000000000000001</v>
      </c>
      <c r="J39" s="67">
        <f>AVERAGE(AD14:AD23)</f>
        <v>0.30999999999999994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5:53" ht="15.75" customHeight="1" x14ac:dyDescent="0.35">
      <c r="E40" s="78" t="s">
        <v>13</v>
      </c>
      <c r="F40" s="64"/>
      <c r="G40" s="67">
        <v>0.67566708750000004</v>
      </c>
      <c r="H40" s="67">
        <v>0.75117246250000003</v>
      </c>
      <c r="I40" s="67">
        <f>AA14</f>
        <v>0.68512499999999998</v>
      </c>
      <c r="J40" s="67">
        <f>AE14</f>
        <v>0.726325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5:53" ht="15.75" customHeight="1" x14ac:dyDescent="0.35">
      <c r="E41" s="78" t="s">
        <v>21</v>
      </c>
      <c r="F41" s="64"/>
      <c r="G41" s="68">
        <v>5.7339667250000002</v>
      </c>
      <c r="H41" s="68">
        <v>7.0871064590000001</v>
      </c>
      <c r="I41" s="68">
        <f>AB14</f>
        <v>5.8956170962499996</v>
      </c>
      <c r="J41" s="68">
        <f>AF14</f>
        <v>6.6260029506500011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5:53" ht="15.75" customHeight="1" x14ac:dyDescent="0.35">
      <c r="E42" s="79" t="s">
        <v>15</v>
      </c>
      <c r="F42" s="80" t="s">
        <v>22</v>
      </c>
      <c r="G42" s="67">
        <v>0.2539254359</v>
      </c>
      <c r="H42" s="67">
        <v>0.10441496879999999</v>
      </c>
      <c r="I42" s="71">
        <f t="shared" ref="I42:I43" si="10">AC24</f>
        <v>2.0354103402734188E-2</v>
      </c>
      <c r="J42" s="71">
        <f t="shared" ref="J42:J43" si="11">AG24</f>
        <v>1.8714148020087404E-2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5:53" ht="15.75" customHeight="1" x14ac:dyDescent="0.35">
      <c r="E43" s="72"/>
      <c r="F43" s="80" t="s">
        <v>17</v>
      </c>
      <c r="G43" s="71">
        <v>5.03648862E-2</v>
      </c>
      <c r="H43" s="71">
        <v>1.8216100690000001E-2</v>
      </c>
      <c r="I43" s="71">
        <f t="shared" si="10"/>
        <v>1.7879257356451014E-2</v>
      </c>
      <c r="J43" s="81">
        <f t="shared" si="11"/>
        <v>4.77252679137151E-3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5:53" ht="15.75" customHeight="1" x14ac:dyDescent="0.35"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5:53" ht="15.75" customHeight="1" x14ac:dyDescent="0.35"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5:53" ht="15.75" customHeight="1" x14ac:dyDescent="0.35"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5:53" ht="15.75" customHeight="1" x14ac:dyDescent="0.35"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5:53" ht="15.75" customHeight="1" x14ac:dyDescent="0.35"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25:53" ht="15.75" customHeight="1" x14ac:dyDescent="0.35"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25:53" ht="15.75" customHeight="1" x14ac:dyDescent="0.35"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25:53" ht="15.75" customHeight="1" x14ac:dyDescent="0.35"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25:53" ht="15.75" customHeight="1" x14ac:dyDescent="0.35"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25:53" ht="15.75" customHeight="1" x14ac:dyDescent="0.35"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25:53" ht="15.75" customHeight="1" x14ac:dyDescent="0.35"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25:53" ht="15.75" customHeight="1" x14ac:dyDescent="0.35"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25:53" ht="15.75" customHeight="1" x14ac:dyDescent="0.35"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25:53" ht="15.75" customHeight="1" x14ac:dyDescent="0.35"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25:53" ht="15.75" customHeight="1" x14ac:dyDescent="0.35"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25:53" ht="15.75" customHeight="1" x14ac:dyDescent="0.35"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25:53" ht="15.75" customHeight="1" x14ac:dyDescent="0.35"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25:53" ht="15.75" customHeight="1" x14ac:dyDescent="0.35"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25:53" ht="15.75" customHeight="1" x14ac:dyDescent="0.35"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25:53" ht="15.75" customHeight="1" x14ac:dyDescent="0.35"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25:53" ht="15.75" customHeight="1" x14ac:dyDescent="0.35"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25:53" ht="15.75" customHeight="1" x14ac:dyDescent="0.35"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25:53" ht="15.75" customHeight="1" x14ac:dyDescent="0.35"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25:53" ht="15.75" customHeight="1" x14ac:dyDescent="0.35"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25:53" ht="15.75" customHeight="1" x14ac:dyDescent="0.35"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25:53" ht="15.75" customHeight="1" x14ac:dyDescent="0.35"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25:53" ht="15.75" customHeight="1" x14ac:dyDescent="0.35"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25:53" ht="15.75" customHeight="1" x14ac:dyDescent="0.35"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25:53" ht="15.75" customHeight="1" x14ac:dyDescent="0.35"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25:53" ht="15.75" customHeight="1" x14ac:dyDescent="0.35"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25:53" ht="15.75" customHeight="1" x14ac:dyDescent="0.35"/>
    <row r="75" spans="25:53" ht="15.75" customHeight="1" x14ac:dyDescent="0.35"/>
    <row r="76" spans="25:53" ht="15.75" customHeight="1" x14ac:dyDescent="0.35"/>
    <row r="77" spans="25:53" ht="15.75" customHeight="1" x14ac:dyDescent="0.35"/>
    <row r="78" spans="25:53" ht="15.75" customHeight="1" x14ac:dyDescent="0.35"/>
    <row r="79" spans="25:53" ht="15.75" customHeight="1" x14ac:dyDescent="0.35"/>
    <row r="80" spans="25:53" ht="15.75" customHeight="1" x14ac:dyDescent="0.35"/>
    <row r="81" spans="1:18" ht="15.75" customHeight="1" x14ac:dyDescent="0.35"/>
    <row r="82" spans="1:18" ht="15.75" customHeight="1" x14ac:dyDescent="0.35"/>
    <row r="83" spans="1:18" ht="15.75" customHeight="1" x14ac:dyDescent="0.35"/>
    <row r="84" spans="1:18" ht="15.75" customHeight="1" x14ac:dyDescent="0.35"/>
    <row r="85" spans="1:18" ht="15.75" customHeight="1" x14ac:dyDescent="0.35"/>
    <row r="86" spans="1:18" ht="15.75" customHeight="1" x14ac:dyDescent="0.35"/>
    <row r="87" spans="1:18" ht="15.75" customHeight="1" x14ac:dyDescent="0.35"/>
    <row r="88" spans="1:18" ht="15.75" customHeight="1" x14ac:dyDescent="0.35"/>
    <row r="89" spans="1:18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R89" s="2"/>
    </row>
    <row r="90" spans="1:18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2"/>
    </row>
    <row r="91" spans="1:18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R91" s="2"/>
    </row>
    <row r="92" spans="1:18" ht="15.75" customHeight="1" x14ac:dyDescent="0.35">
      <c r="E92" s="1"/>
      <c r="F92" s="1"/>
      <c r="G92" s="1"/>
      <c r="R92" s="2"/>
    </row>
    <row r="93" spans="1:18" ht="15.75" customHeight="1" x14ac:dyDescent="0.35">
      <c r="E93" s="1"/>
      <c r="F93" s="1"/>
      <c r="G93" s="1"/>
      <c r="R93" s="2"/>
    </row>
    <row r="94" spans="1:18" ht="15.75" customHeight="1" x14ac:dyDescent="0.35">
      <c r="E94" s="1"/>
      <c r="F94" s="1"/>
      <c r="G94" s="1"/>
      <c r="R94" s="2"/>
    </row>
    <row r="95" spans="1:18" ht="15.75" customHeight="1" x14ac:dyDescent="0.35">
      <c r="E95" s="1"/>
      <c r="F95" s="1"/>
      <c r="G95" s="1"/>
      <c r="R95" s="2"/>
    </row>
    <row r="96" spans="1:18" ht="15.75" customHeight="1" x14ac:dyDescent="0.35">
      <c r="E96" s="1"/>
      <c r="F96" s="1"/>
      <c r="G96" s="1"/>
      <c r="R96" s="2"/>
    </row>
    <row r="97" spans="5:18" ht="15.75" customHeight="1" x14ac:dyDescent="0.35">
      <c r="E97" s="1"/>
      <c r="F97" s="1"/>
      <c r="G97" s="1"/>
      <c r="R97" s="2"/>
    </row>
    <row r="98" spans="5:18" ht="15.75" customHeight="1" x14ac:dyDescent="0.35">
      <c r="E98" s="1"/>
      <c r="F98" s="1"/>
      <c r="G98" s="1"/>
      <c r="R98" s="2"/>
    </row>
    <row r="99" spans="5:18" ht="15.75" customHeight="1" x14ac:dyDescent="0.35">
      <c r="E99" s="1"/>
      <c r="F99" s="1"/>
      <c r="G99" s="1"/>
      <c r="R99" s="2"/>
    </row>
    <row r="100" spans="5:18" ht="15.75" customHeight="1" x14ac:dyDescent="0.35">
      <c r="E100" s="1"/>
      <c r="F100" s="1"/>
      <c r="G100" s="1"/>
      <c r="R100" s="2"/>
    </row>
    <row r="101" spans="5:18" ht="15.75" customHeight="1" x14ac:dyDescent="0.35">
      <c r="E101" s="1"/>
      <c r="F101" s="1"/>
      <c r="G101" s="1"/>
      <c r="R101" s="2"/>
    </row>
    <row r="102" spans="5:18" ht="15.75" customHeight="1" x14ac:dyDescent="0.35">
      <c r="E102" s="1"/>
      <c r="F102" s="1"/>
      <c r="G102" s="1"/>
      <c r="R102" s="2"/>
    </row>
    <row r="103" spans="5:18" ht="15.75" customHeight="1" x14ac:dyDescent="0.35">
      <c r="E103" s="1"/>
      <c r="F103" s="1"/>
      <c r="G103" s="1"/>
      <c r="R103" s="2"/>
    </row>
    <row r="104" spans="5:18" ht="15.75" customHeight="1" x14ac:dyDescent="0.35">
      <c r="E104" s="1"/>
      <c r="F104" s="1"/>
      <c r="G104" s="1"/>
      <c r="R104" s="2"/>
    </row>
    <row r="105" spans="5:18" ht="15.75" customHeight="1" x14ac:dyDescent="0.35">
      <c r="E105" s="1"/>
      <c r="F105" s="1"/>
      <c r="G105" s="1"/>
      <c r="R105" s="2"/>
    </row>
    <row r="106" spans="5:18" ht="15.75" customHeight="1" x14ac:dyDescent="0.35">
      <c r="E106" s="1"/>
      <c r="F106" s="1"/>
      <c r="G106" s="1"/>
      <c r="R106" s="2"/>
    </row>
    <row r="107" spans="5:18" ht="15.75" customHeight="1" x14ac:dyDescent="0.35">
      <c r="E107" s="1"/>
      <c r="F107" s="1"/>
      <c r="G107" s="1"/>
      <c r="R107" s="2"/>
    </row>
    <row r="108" spans="5:18" ht="15.75" customHeight="1" x14ac:dyDescent="0.35">
      <c r="E108" s="1"/>
      <c r="F108" s="1"/>
      <c r="G108" s="1"/>
      <c r="R108" s="2"/>
    </row>
    <row r="109" spans="5:18" ht="15.75" customHeight="1" x14ac:dyDescent="0.35">
      <c r="E109" s="1"/>
      <c r="F109" s="1"/>
      <c r="G109" s="1"/>
      <c r="R109" s="2"/>
    </row>
    <row r="110" spans="5:18" ht="15.75" customHeight="1" x14ac:dyDescent="0.35">
      <c r="E110" s="1"/>
      <c r="F110" s="1"/>
      <c r="G110" s="1"/>
      <c r="R110" s="2"/>
    </row>
    <row r="111" spans="5:18" ht="15.75" customHeight="1" x14ac:dyDescent="0.35">
      <c r="E111" s="1"/>
      <c r="F111" s="1"/>
      <c r="G111" s="1"/>
      <c r="R111" s="2"/>
    </row>
    <row r="112" spans="5:18" ht="15.75" customHeight="1" x14ac:dyDescent="0.35">
      <c r="E112" s="1"/>
      <c r="F112" s="1"/>
      <c r="G112" s="1"/>
      <c r="R112" s="2"/>
    </row>
    <row r="113" spans="5:18" ht="15.75" customHeight="1" x14ac:dyDescent="0.35">
      <c r="E113" s="1"/>
      <c r="F113" s="1"/>
      <c r="G113" s="1"/>
      <c r="R113" s="2"/>
    </row>
    <row r="114" spans="5:18" ht="15.75" customHeight="1" x14ac:dyDescent="0.35">
      <c r="E114" s="1"/>
      <c r="F114" s="1"/>
      <c r="G114" s="1"/>
      <c r="R114" s="2"/>
    </row>
    <row r="115" spans="5:18" ht="15.75" customHeight="1" x14ac:dyDescent="0.35">
      <c r="E115" s="1"/>
      <c r="F115" s="1"/>
      <c r="G115" s="1"/>
      <c r="R115" s="2"/>
    </row>
    <row r="116" spans="5:18" ht="15.75" customHeight="1" x14ac:dyDescent="0.35">
      <c r="E116" s="1"/>
      <c r="F116" s="1"/>
      <c r="G116" s="1"/>
      <c r="R116" s="2"/>
    </row>
    <row r="117" spans="5:18" ht="15.75" customHeight="1" x14ac:dyDescent="0.35">
      <c r="E117" s="1"/>
      <c r="F117" s="1"/>
      <c r="G117" s="1"/>
      <c r="R117" s="2"/>
    </row>
    <row r="118" spans="5:18" ht="15.75" customHeight="1" x14ac:dyDescent="0.35">
      <c r="E118" s="1"/>
      <c r="F118" s="1"/>
      <c r="G118" s="1"/>
      <c r="R118" s="2"/>
    </row>
    <row r="119" spans="5:18" ht="15.75" customHeight="1" x14ac:dyDescent="0.35">
      <c r="E119" s="1"/>
      <c r="F119" s="1"/>
      <c r="G119" s="1"/>
      <c r="R119" s="2"/>
    </row>
    <row r="120" spans="5:18" ht="15.75" customHeight="1" x14ac:dyDescent="0.35">
      <c r="E120" s="1"/>
      <c r="F120" s="1"/>
      <c r="G120" s="1"/>
      <c r="R120" s="2"/>
    </row>
    <row r="121" spans="5:18" ht="15.75" customHeight="1" x14ac:dyDescent="0.35">
      <c r="E121" s="1"/>
      <c r="F121" s="1"/>
      <c r="G121" s="1"/>
      <c r="R121" s="2"/>
    </row>
    <row r="122" spans="5:18" ht="15.75" customHeight="1" x14ac:dyDescent="0.35">
      <c r="E122" s="1"/>
      <c r="F122" s="1"/>
      <c r="G122" s="1"/>
      <c r="R122" s="2"/>
    </row>
    <row r="123" spans="5:18" ht="15.75" customHeight="1" x14ac:dyDescent="0.35">
      <c r="E123" s="1"/>
      <c r="F123" s="1"/>
      <c r="G123" s="1"/>
      <c r="R123" s="2"/>
    </row>
    <row r="124" spans="5:18" ht="15.75" customHeight="1" x14ac:dyDescent="0.35">
      <c r="E124" s="1"/>
      <c r="F124" s="1"/>
      <c r="G124" s="1"/>
      <c r="R124" s="2"/>
    </row>
    <row r="125" spans="5:18" ht="15.75" customHeight="1" x14ac:dyDescent="0.35">
      <c r="E125" s="1"/>
      <c r="F125" s="1"/>
      <c r="G125" s="1"/>
      <c r="R125" s="2"/>
    </row>
    <row r="126" spans="5:18" ht="15.75" customHeight="1" x14ac:dyDescent="0.35">
      <c r="E126" s="1"/>
      <c r="F126" s="1"/>
      <c r="G126" s="1"/>
      <c r="R126" s="2"/>
    </row>
    <row r="127" spans="5:18" ht="15.75" customHeight="1" x14ac:dyDescent="0.35">
      <c r="E127" s="1"/>
      <c r="F127" s="1"/>
      <c r="G127" s="1"/>
      <c r="R127" s="2"/>
    </row>
    <row r="128" spans="5:18" ht="15.75" customHeight="1" x14ac:dyDescent="0.35">
      <c r="E128" s="1"/>
      <c r="F128" s="1"/>
      <c r="G128" s="1"/>
      <c r="R128" s="2"/>
    </row>
    <row r="129" spans="5:18" ht="15.75" customHeight="1" x14ac:dyDescent="0.35">
      <c r="E129" s="1"/>
      <c r="F129" s="1"/>
      <c r="G129" s="1"/>
      <c r="R129" s="2"/>
    </row>
    <row r="130" spans="5:18" ht="15.75" customHeight="1" x14ac:dyDescent="0.35">
      <c r="E130" s="1"/>
      <c r="F130" s="1"/>
      <c r="G130" s="1"/>
      <c r="R130" s="2"/>
    </row>
    <row r="131" spans="5:18" ht="15.75" customHeight="1" x14ac:dyDescent="0.35">
      <c r="E131" s="1"/>
      <c r="F131" s="1"/>
      <c r="G131" s="1"/>
      <c r="R131" s="2"/>
    </row>
    <row r="132" spans="5:18" ht="15.75" customHeight="1" x14ac:dyDescent="0.35">
      <c r="E132" s="1"/>
      <c r="F132" s="1"/>
      <c r="G132" s="1"/>
      <c r="R132" s="2"/>
    </row>
    <row r="133" spans="5:18" ht="15.75" customHeight="1" x14ac:dyDescent="0.35">
      <c r="E133" s="1"/>
      <c r="F133" s="1"/>
      <c r="G133" s="1"/>
      <c r="R133" s="2"/>
    </row>
    <row r="134" spans="5:18" ht="15.75" customHeight="1" x14ac:dyDescent="0.35">
      <c r="E134" s="1"/>
      <c r="F134" s="1"/>
      <c r="G134" s="1"/>
      <c r="R134" s="2"/>
    </row>
    <row r="135" spans="5:18" ht="15.75" customHeight="1" x14ac:dyDescent="0.35">
      <c r="E135" s="1"/>
      <c r="F135" s="1"/>
      <c r="G135" s="1"/>
      <c r="R135" s="2"/>
    </row>
    <row r="136" spans="5:18" ht="15.75" customHeight="1" x14ac:dyDescent="0.35">
      <c r="E136" s="1"/>
      <c r="F136" s="1"/>
      <c r="G136" s="1"/>
      <c r="R136" s="2"/>
    </row>
    <row r="137" spans="5:18" ht="15.75" customHeight="1" x14ac:dyDescent="0.35">
      <c r="E137" s="1"/>
      <c r="F137" s="1"/>
      <c r="G137" s="1"/>
      <c r="R137" s="2"/>
    </row>
    <row r="138" spans="5:18" ht="15.75" customHeight="1" x14ac:dyDescent="0.35">
      <c r="E138" s="1"/>
      <c r="F138" s="1"/>
      <c r="G138" s="1"/>
      <c r="R138" s="2"/>
    </row>
    <row r="139" spans="5:18" ht="15.75" customHeight="1" x14ac:dyDescent="0.35">
      <c r="E139" s="1"/>
      <c r="F139" s="1"/>
      <c r="G139" s="1"/>
      <c r="R139" s="2"/>
    </row>
    <row r="140" spans="5:18" ht="15.75" customHeight="1" x14ac:dyDescent="0.35">
      <c r="E140" s="1"/>
      <c r="F140" s="1"/>
      <c r="G140" s="1"/>
      <c r="R140" s="2"/>
    </row>
    <row r="141" spans="5:18" ht="15.75" customHeight="1" x14ac:dyDescent="0.35">
      <c r="E141" s="1"/>
      <c r="F141" s="1"/>
      <c r="G141" s="1"/>
      <c r="R141" s="2"/>
    </row>
    <row r="142" spans="5:18" ht="15.75" customHeight="1" x14ac:dyDescent="0.35">
      <c r="E142" s="1"/>
      <c r="F142" s="1"/>
      <c r="G142" s="1"/>
      <c r="R142" s="2"/>
    </row>
    <row r="143" spans="5:18" ht="15.75" customHeight="1" x14ac:dyDescent="0.35">
      <c r="E143" s="1"/>
      <c r="F143" s="1"/>
      <c r="G143" s="1"/>
      <c r="R143" s="2"/>
    </row>
    <row r="144" spans="5:18" ht="15.75" customHeight="1" x14ac:dyDescent="0.35">
      <c r="E144" s="1"/>
      <c r="F144" s="1"/>
      <c r="G144" s="1"/>
      <c r="R144" s="2"/>
    </row>
    <row r="145" spans="5:18" ht="15.75" customHeight="1" x14ac:dyDescent="0.35">
      <c r="E145" s="1"/>
      <c r="F145" s="1"/>
      <c r="G145" s="1"/>
      <c r="R145" s="2"/>
    </row>
    <row r="146" spans="5:18" ht="15.75" customHeight="1" x14ac:dyDescent="0.35">
      <c r="E146" s="1"/>
      <c r="F146" s="1"/>
      <c r="G146" s="1"/>
      <c r="R146" s="2"/>
    </row>
    <row r="147" spans="5:18" ht="15.75" customHeight="1" x14ac:dyDescent="0.35">
      <c r="E147" s="1"/>
      <c r="F147" s="1"/>
      <c r="G147" s="1"/>
      <c r="R147" s="2"/>
    </row>
    <row r="148" spans="5:18" ht="15.75" customHeight="1" x14ac:dyDescent="0.35">
      <c r="E148" s="1"/>
      <c r="F148" s="1"/>
      <c r="G148" s="1"/>
      <c r="R148" s="2"/>
    </row>
    <row r="149" spans="5:18" ht="15.75" customHeight="1" x14ac:dyDescent="0.35">
      <c r="E149" s="1"/>
      <c r="F149" s="1"/>
      <c r="G149" s="1"/>
      <c r="R149" s="2"/>
    </row>
    <row r="150" spans="5:18" ht="15.75" customHeight="1" x14ac:dyDescent="0.35">
      <c r="E150" s="1"/>
      <c r="F150" s="1"/>
      <c r="G150" s="1"/>
      <c r="R150" s="2"/>
    </row>
    <row r="151" spans="5:18" ht="15.75" customHeight="1" x14ac:dyDescent="0.35">
      <c r="E151" s="1"/>
      <c r="F151" s="1"/>
      <c r="G151" s="1"/>
      <c r="R151" s="2"/>
    </row>
    <row r="152" spans="5:18" ht="15.75" customHeight="1" x14ac:dyDescent="0.35">
      <c r="E152" s="1"/>
      <c r="F152" s="1"/>
      <c r="G152" s="1"/>
      <c r="R152" s="2"/>
    </row>
    <row r="153" spans="5:18" ht="15.75" customHeight="1" x14ac:dyDescent="0.35">
      <c r="E153" s="1"/>
      <c r="F153" s="1"/>
      <c r="G153" s="1"/>
      <c r="R153" s="2"/>
    </row>
    <row r="154" spans="5:18" ht="15.75" customHeight="1" x14ac:dyDescent="0.35">
      <c r="E154" s="1"/>
      <c r="F154" s="1"/>
      <c r="G154" s="1"/>
      <c r="R154" s="2"/>
    </row>
    <row r="155" spans="5:18" ht="15.75" customHeight="1" x14ac:dyDescent="0.35">
      <c r="E155" s="1"/>
      <c r="F155" s="1"/>
      <c r="G155" s="1"/>
      <c r="R155" s="2"/>
    </row>
    <row r="156" spans="5:18" ht="15.75" customHeight="1" x14ac:dyDescent="0.35">
      <c r="E156" s="1"/>
      <c r="F156" s="1"/>
      <c r="G156" s="1"/>
      <c r="R156" s="2"/>
    </row>
    <row r="157" spans="5:18" ht="15.75" customHeight="1" x14ac:dyDescent="0.35">
      <c r="E157" s="1"/>
      <c r="F157" s="1"/>
      <c r="G157" s="1"/>
      <c r="R157" s="2"/>
    </row>
    <row r="158" spans="5:18" ht="15.75" customHeight="1" x14ac:dyDescent="0.35">
      <c r="E158" s="1"/>
      <c r="F158" s="1"/>
      <c r="G158" s="1"/>
      <c r="R158" s="2"/>
    </row>
    <row r="159" spans="5:18" ht="15.75" customHeight="1" x14ac:dyDescent="0.35">
      <c r="E159" s="1"/>
      <c r="F159" s="1"/>
      <c r="G159" s="1"/>
      <c r="R159" s="2"/>
    </row>
    <row r="160" spans="5:18" ht="15.75" customHeight="1" x14ac:dyDescent="0.35">
      <c r="E160" s="1"/>
      <c r="F160" s="1"/>
      <c r="G160" s="1"/>
      <c r="R160" s="2"/>
    </row>
    <row r="161" spans="5:18" ht="15.75" customHeight="1" x14ac:dyDescent="0.35">
      <c r="E161" s="1"/>
      <c r="F161" s="1"/>
      <c r="G161" s="1"/>
      <c r="R161" s="2"/>
    </row>
    <row r="162" spans="5:18" ht="15.75" customHeight="1" x14ac:dyDescent="0.35">
      <c r="E162" s="1"/>
      <c r="F162" s="1"/>
      <c r="G162" s="1"/>
      <c r="R162" s="2"/>
    </row>
    <row r="163" spans="5:18" ht="15.75" customHeight="1" x14ac:dyDescent="0.35">
      <c r="E163" s="1"/>
      <c r="F163" s="1"/>
      <c r="G163" s="1"/>
      <c r="R163" s="2"/>
    </row>
    <row r="164" spans="5:18" ht="15.75" customHeight="1" x14ac:dyDescent="0.35">
      <c r="E164" s="1"/>
      <c r="F164" s="1"/>
      <c r="G164" s="1"/>
      <c r="R164" s="2"/>
    </row>
    <row r="165" spans="5:18" ht="15.75" customHeight="1" x14ac:dyDescent="0.35">
      <c r="E165" s="1"/>
      <c r="F165" s="1"/>
      <c r="G165" s="1"/>
      <c r="R165" s="2"/>
    </row>
    <row r="166" spans="5:18" ht="15.75" customHeight="1" x14ac:dyDescent="0.35">
      <c r="E166" s="1"/>
      <c r="F166" s="1"/>
      <c r="G166" s="1"/>
      <c r="R166" s="2"/>
    </row>
    <row r="167" spans="5:18" ht="15.75" customHeight="1" x14ac:dyDescent="0.35">
      <c r="E167" s="1"/>
      <c r="F167" s="1"/>
      <c r="G167" s="1"/>
      <c r="R167" s="2"/>
    </row>
    <row r="168" spans="5:18" ht="15.75" customHeight="1" x14ac:dyDescent="0.35">
      <c r="E168" s="1"/>
      <c r="F168" s="1"/>
      <c r="G168" s="1"/>
      <c r="R168" s="2"/>
    </row>
    <row r="169" spans="5:18" ht="15.75" customHeight="1" x14ac:dyDescent="0.35">
      <c r="E169" s="1"/>
      <c r="F169" s="1"/>
      <c r="G169" s="1"/>
      <c r="R169" s="2"/>
    </row>
    <row r="170" spans="5:18" ht="15.75" customHeight="1" x14ac:dyDescent="0.35">
      <c r="E170" s="1"/>
      <c r="F170" s="1"/>
      <c r="G170" s="1"/>
      <c r="R170" s="2"/>
    </row>
    <row r="171" spans="5:18" ht="15.75" customHeight="1" x14ac:dyDescent="0.35">
      <c r="E171" s="1"/>
      <c r="F171" s="1"/>
      <c r="G171" s="1"/>
      <c r="R171" s="2"/>
    </row>
    <row r="172" spans="5:18" ht="15.75" customHeight="1" x14ac:dyDescent="0.35">
      <c r="E172" s="1"/>
      <c r="F172" s="1"/>
      <c r="G172" s="1"/>
      <c r="R172" s="2"/>
    </row>
    <row r="173" spans="5:18" ht="15.75" customHeight="1" x14ac:dyDescent="0.35">
      <c r="E173" s="1"/>
      <c r="F173" s="1"/>
      <c r="G173" s="1"/>
      <c r="R173" s="2"/>
    </row>
    <row r="174" spans="5:18" ht="15.75" customHeight="1" x14ac:dyDescent="0.35">
      <c r="E174" s="1"/>
      <c r="F174" s="1"/>
      <c r="G174" s="1"/>
      <c r="R174" s="2"/>
    </row>
    <row r="175" spans="5:18" ht="15.75" customHeight="1" x14ac:dyDescent="0.35">
      <c r="E175" s="1"/>
      <c r="F175" s="1"/>
      <c r="G175" s="1"/>
      <c r="R175" s="2"/>
    </row>
    <row r="176" spans="5:18" ht="15.75" customHeight="1" x14ac:dyDescent="0.35">
      <c r="E176" s="1"/>
      <c r="F176" s="1"/>
      <c r="G176" s="1"/>
      <c r="R176" s="2"/>
    </row>
    <row r="177" spans="5:18" ht="15.75" customHeight="1" x14ac:dyDescent="0.35">
      <c r="E177" s="1"/>
      <c r="F177" s="1"/>
      <c r="G177" s="1"/>
      <c r="R177" s="2"/>
    </row>
    <row r="178" spans="5:18" ht="15.75" customHeight="1" x14ac:dyDescent="0.35">
      <c r="E178" s="1"/>
      <c r="F178" s="1"/>
      <c r="G178" s="1"/>
      <c r="R178" s="2"/>
    </row>
    <row r="179" spans="5:18" ht="15.75" customHeight="1" x14ac:dyDescent="0.35">
      <c r="E179" s="1"/>
      <c r="F179" s="1"/>
      <c r="G179" s="1"/>
      <c r="R179" s="2"/>
    </row>
    <row r="180" spans="5:18" ht="15.75" customHeight="1" x14ac:dyDescent="0.35">
      <c r="E180" s="1"/>
      <c r="F180" s="1"/>
      <c r="G180" s="1"/>
      <c r="R180" s="2"/>
    </row>
    <row r="181" spans="5:18" ht="15.75" customHeight="1" x14ac:dyDescent="0.35">
      <c r="E181" s="1"/>
      <c r="F181" s="1"/>
      <c r="G181" s="1"/>
      <c r="R181" s="2"/>
    </row>
    <row r="182" spans="5:18" ht="15.75" customHeight="1" x14ac:dyDescent="0.35">
      <c r="E182" s="1"/>
      <c r="F182" s="1"/>
      <c r="G182" s="1"/>
      <c r="R182" s="2"/>
    </row>
    <row r="183" spans="5:18" ht="15.75" customHeight="1" x14ac:dyDescent="0.35">
      <c r="E183" s="1"/>
      <c r="F183" s="1"/>
      <c r="G183" s="1"/>
      <c r="R183" s="2"/>
    </row>
    <row r="184" spans="5:18" ht="15.75" customHeight="1" x14ac:dyDescent="0.35">
      <c r="E184" s="1"/>
      <c r="F184" s="1"/>
      <c r="G184" s="1"/>
      <c r="R184" s="2"/>
    </row>
    <row r="185" spans="5:18" ht="15.75" customHeight="1" x14ac:dyDescent="0.35">
      <c r="E185" s="1"/>
      <c r="F185" s="1"/>
      <c r="G185" s="1"/>
      <c r="R185" s="2"/>
    </row>
    <row r="186" spans="5:18" ht="15.75" customHeight="1" x14ac:dyDescent="0.35">
      <c r="E186" s="1"/>
      <c r="F186" s="1"/>
      <c r="G186" s="1"/>
      <c r="R186" s="2"/>
    </row>
    <row r="187" spans="5:18" ht="15.75" customHeight="1" x14ac:dyDescent="0.35">
      <c r="E187" s="1"/>
      <c r="F187" s="1"/>
      <c r="G187" s="1"/>
      <c r="R187" s="2"/>
    </row>
    <row r="188" spans="5:18" ht="15.75" customHeight="1" x14ac:dyDescent="0.35">
      <c r="E188" s="1"/>
      <c r="F188" s="1"/>
      <c r="G188" s="1"/>
      <c r="R188" s="2"/>
    </row>
    <row r="189" spans="5:18" ht="15.75" customHeight="1" x14ac:dyDescent="0.35">
      <c r="E189" s="1"/>
      <c r="F189" s="1"/>
      <c r="G189" s="1"/>
      <c r="R189" s="2"/>
    </row>
    <row r="190" spans="5:18" ht="15.75" customHeight="1" x14ac:dyDescent="0.35">
      <c r="E190" s="1"/>
      <c r="F190" s="1"/>
      <c r="G190" s="1"/>
      <c r="R190" s="2"/>
    </row>
    <row r="191" spans="5:18" ht="15.75" customHeight="1" x14ac:dyDescent="0.35">
      <c r="E191" s="1"/>
      <c r="F191" s="1"/>
      <c r="G191" s="1"/>
      <c r="R191" s="2"/>
    </row>
    <row r="192" spans="5:18" ht="15.75" customHeight="1" x14ac:dyDescent="0.35">
      <c r="E192" s="1"/>
      <c r="F192" s="1"/>
      <c r="G192" s="1"/>
      <c r="R192" s="2"/>
    </row>
    <row r="193" spans="5:18" ht="15.75" customHeight="1" x14ac:dyDescent="0.35">
      <c r="E193" s="1"/>
      <c r="F193" s="1"/>
      <c r="G193" s="1"/>
      <c r="R193" s="2"/>
    </row>
    <row r="194" spans="5:18" ht="15.75" customHeight="1" x14ac:dyDescent="0.35">
      <c r="E194" s="1"/>
      <c r="F194" s="1"/>
      <c r="G194" s="1"/>
      <c r="R194" s="2"/>
    </row>
    <row r="195" spans="5:18" ht="15.75" customHeight="1" x14ac:dyDescent="0.35">
      <c r="E195" s="1"/>
      <c r="F195" s="1"/>
      <c r="G195" s="1"/>
      <c r="R195" s="2"/>
    </row>
    <row r="196" spans="5:18" ht="15.75" customHeight="1" x14ac:dyDescent="0.35">
      <c r="E196" s="1"/>
      <c r="F196" s="1"/>
      <c r="G196" s="1"/>
      <c r="R196" s="2"/>
    </row>
    <row r="197" spans="5:18" ht="15.75" customHeight="1" x14ac:dyDescent="0.35">
      <c r="E197" s="1"/>
      <c r="F197" s="1"/>
      <c r="G197" s="1"/>
      <c r="R197" s="2"/>
    </row>
    <row r="198" spans="5:18" ht="15.75" customHeight="1" x14ac:dyDescent="0.35">
      <c r="E198" s="1"/>
      <c r="F198" s="1"/>
      <c r="G198" s="1"/>
      <c r="R198" s="2"/>
    </row>
    <row r="199" spans="5:18" ht="15.75" customHeight="1" x14ac:dyDescent="0.35">
      <c r="E199" s="1"/>
      <c r="F199" s="1"/>
      <c r="G199" s="1"/>
      <c r="R199" s="2"/>
    </row>
    <row r="200" spans="5:18" ht="15.75" customHeight="1" x14ac:dyDescent="0.35">
      <c r="E200" s="1"/>
      <c r="F200" s="1"/>
      <c r="G200" s="1"/>
      <c r="R200" s="2"/>
    </row>
    <row r="201" spans="5:18" ht="15.75" customHeight="1" x14ac:dyDescent="0.35">
      <c r="E201" s="1"/>
      <c r="F201" s="1"/>
      <c r="G201" s="1"/>
      <c r="R201" s="2"/>
    </row>
    <row r="202" spans="5:18" ht="15.75" customHeight="1" x14ac:dyDescent="0.35">
      <c r="E202" s="1"/>
      <c r="F202" s="1"/>
      <c r="G202" s="1"/>
      <c r="R202" s="2"/>
    </row>
    <row r="203" spans="5:18" ht="15.75" customHeight="1" x14ac:dyDescent="0.35">
      <c r="E203" s="1"/>
      <c r="F203" s="1"/>
      <c r="G203" s="1"/>
      <c r="R203" s="2"/>
    </row>
    <row r="204" spans="5:18" ht="15.75" customHeight="1" x14ac:dyDescent="0.35">
      <c r="E204" s="1"/>
      <c r="F204" s="1"/>
      <c r="G204" s="1"/>
      <c r="R204" s="2"/>
    </row>
    <row r="205" spans="5:18" ht="15.75" customHeight="1" x14ac:dyDescent="0.35">
      <c r="E205" s="1"/>
      <c r="F205" s="1"/>
      <c r="G205" s="1"/>
      <c r="R205" s="2"/>
    </row>
    <row r="206" spans="5:18" ht="15.75" customHeight="1" x14ac:dyDescent="0.35">
      <c r="E206" s="1"/>
      <c r="F206" s="1"/>
      <c r="G206" s="1"/>
      <c r="R206" s="2"/>
    </row>
    <row r="207" spans="5:18" ht="15.75" customHeight="1" x14ac:dyDescent="0.35">
      <c r="E207" s="1"/>
      <c r="F207" s="1"/>
      <c r="G207" s="1"/>
      <c r="R207" s="2"/>
    </row>
    <row r="208" spans="5:18" ht="15.75" customHeight="1" x14ac:dyDescent="0.35">
      <c r="E208" s="1"/>
      <c r="F208" s="1"/>
      <c r="G208" s="1"/>
      <c r="R208" s="2"/>
    </row>
    <row r="209" spans="5:18" ht="15.75" customHeight="1" x14ac:dyDescent="0.35">
      <c r="E209" s="1"/>
      <c r="F209" s="1"/>
      <c r="G209" s="1"/>
      <c r="R209" s="2"/>
    </row>
    <row r="210" spans="5:18" ht="15.75" customHeight="1" x14ac:dyDescent="0.35">
      <c r="E210" s="1"/>
      <c r="F210" s="1"/>
      <c r="G210" s="1"/>
      <c r="R210" s="2"/>
    </row>
    <row r="211" spans="5:18" ht="15.75" customHeight="1" x14ac:dyDescent="0.35">
      <c r="E211" s="1"/>
      <c r="F211" s="1"/>
      <c r="G211" s="1"/>
      <c r="R211" s="2"/>
    </row>
    <row r="212" spans="5:18" ht="15.75" customHeight="1" x14ac:dyDescent="0.35">
      <c r="E212" s="1"/>
      <c r="F212" s="1"/>
      <c r="G212" s="1"/>
      <c r="R212" s="2"/>
    </row>
    <row r="213" spans="5:18" ht="15.75" customHeight="1" x14ac:dyDescent="0.35">
      <c r="E213" s="1"/>
      <c r="F213" s="1"/>
      <c r="G213" s="1"/>
      <c r="R213" s="2"/>
    </row>
    <row r="214" spans="5:18" ht="15.75" customHeight="1" x14ac:dyDescent="0.35">
      <c r="E214" s="1"/>
      <c r="F214" s="1"/>
      <c r="G214" s="1"/>
      <c r="R214" s="2"/>
    </row>
    <row r="215" spans="5:18" ht="15.75" customHeight="1" x14ac:dyDescent="0.35">
      <c r="E215" s="1"/>
      <c r="F215" s="1"/>
      <c r="G215" s="1"/>
      <c r="R215" s="2"/>
    </row>
    <row r="216" spans="5:18" ht="15.75" customHeight="1" x14ac:dyDescent="0.35">
      <c r="E216" s="1"/>
      <c r="F216" s="1"/>
      <c r="G216" s="1"/>
      <c r="R216" s="2"/>
    </row>
    <row r="217" spans="5:18" ht="15.75" customHeight="1" x14ac:dyDescent="0.35">
      <c r="E217" s="1"/>
      <c r="F217" s="1"/>
      <c r="G217" s="1"/>
      <c r="R217" s="2"/>
    </row>
    <row r="218" spans="5:18" ht="15.75" customHeight="1" x14ac:dyDescent="0.35">
      <c r="E218" s="1"/>
      <c r="F218" s="1"/>
      <c r="G218" s="1"/>
      <c r="R218" s="2"/>
    </row>
    <row r="219" spans="5:18" ht="15.75" customHeight="1" x14ac:dyDescent="0.35">
      <c r="E219" s="1"/>
      <c r="F219" s="1"/>
      <c r="G219" s="1"/>
      <c r="R219" s="2"/>
    </row>
    <row r="220" spans="5:18" ht="15.75" customHeight="1" x14ac:dyDescent="0.35">
      <c r="E220" s="1"/>
      <c r="F220" s="1"/>
      <c r="G220" s="1"/>
      <c r="R220" s="2"/>
    </row>
    <row r="221" spans="5:18" ht="15.75" customHeight="1" x14ac:dyDescent="0.35">
      <c r="E221" s="1"/>
      <c r="F221" s="1"/>
      <c r="G221" s="1"/>
      <c r="R221" s="2"/>
    </row>
    <row r="222" spans="5:18" ht="15.75" customHeight="1" x14ac:dyDescent="0.35">
      <c r="E222" s="1"/>
      <c r="F222" s="1"/>
      <c r="G222" s="1"/>
      <c r="R222" s="2"/>
    </row>
    <row r="223" spans="5:18" ht="15.75" customHeight="1" x14ac:dyDescent="0.35">
      <c r="E223" s="1"/>
      <c r="F223" s="1"/>
      <c r="G223" s="1"/>
      <c r="R223" s="2"/>
    </row>
    <row r="224" spans="5:18" ht="15.75" customHeight="1" x14ac:dyDescent="0.35">
      <c r="E224" s="1"/>
      <c r="F224" s="1"/>
      <c r="G224" s="1"/>
      <c r="R224" s="2"/>
    </row>
    <row r="225" spans="5:18" ht="15.75" customHeight="1" x14ac:dyDescent="0.35">
      <c r="E225" s="1"/>
      <c r="F225" s="1"/>
      <c r="G225" s="1"/>
      <c r="R225" s="2"/>
    </row>
    <row r="226" spans="5:18" ht="15.75" customHeight="1" x14ac:dyDescent="0.35">
      <c r="E226" s="1"/>
      <c r="F226" s="1"/>
      <c r="G226" s="1"/>
      <c r="R226" s="2"/>
    </row>
    <row r="227" spans="5:18" ht="15.75" customHeight="1" x14ac:dyDescent="0.35">
      <c r="E227" s="1"/>
      <c r="F227" s="1"/>
      <c r="G227" s="1"/>
      <c r="R227" s="2"/>
    </row>
    <row r="228" spans="5:18" ht="15.75" customHeight="1" x14ac:dyDescent="0.35">
      <c r="E228" s="1"/>
      <c r="F228" s="1"/>
      <c r="G228" s="1"/>
      <c r="R228" s="2"/>
    </row>
    <row r="229" spans="5:18" ht="15.75" customHeight="1" x14ac:dyDescent="0.35">
      <c r="E229" s="1"/>
      <c r="F229" s="1"/>
      <c r="G229" s="1"/>
      <c r="R229" s="2"/>
    </row>
    <row r="230" spans="5:18" ht="15.75" customHeight="1" x14ac:dyDescent="0.35">
      <c r="E230" s="1"/>
      <c r="F230" s="1"/>
      <c r="G230" s="1"/>
      <c r="R230" s="2"/>
    </row>
    <row r="231" spans="5:18" ht="15.75" customHeight="1" x14ac:dyDescent="0.35">
      <c r="E231" s="1"/>
      <c r="F231" s="1"/>
      <c r="G231" s="1"/>
      <c r="R231" s="2"/>
    </row>
    <row r="232" spans="5:18" ht="15.75" customHeight="1" x14ac:dyDescent="0.35">
      <c r="E232" s="1"/>
      <c r="F232" s="1"/>
      <c r="G232" s="1"/>
      <c r="R232" s="2"/>
    </row>
    <row r="233" spans="5:18" ht="15.75" customHeight="1" x14ac:dyDescent="0.35">
      <c r="E233" s="1"/>
      <c r="F233" s="1"/>
      <c r="G233" s="1"/>
      <c r="R233" s="2"/>
    </row>
    <row r="234" spans="5:18" ht="15.75" customHeight="1" x14ac:dyDescent="0.35">
      <c r="E234" s="1"/>
      <c r="F234" s="1"/>
      <c r="G234" s="1"/>
      <c r="R234" s="2"/>
    </row>
    <row r="235" spans="5:18" ht="15.75" customHeight="1" x14ac:dyDescent="0.35">
      <c r="E235" s="1"/>
      <c r="F235" s="1"/>
      <c r="G235" s="1"/>
      <c r="R235" s="2"/>
    </row>
    <row r="236" spans="5:18" ht="15.75" customHeight="1" x14ac:dyDescent="0.35">
      <c r="E236" s="1"/>
      <c r="F236" s="1"/>
      <c r="G236" s="1"/>
      <c r="R236" s="2"/>
    </row>
    <row r="237" spans="5:18" ht="15.75" customHeight="1" x14ac:dyDescent="0.35">
      <c r="E237" s="1"/>
      <c r="F237" s="1"/>
      <c r="G237" s="1"/>
      <c r="R237" s="2"/>
    </row>
    <row r="238" spans="5:18" ht="15.75" customHeight="1" x14ac:dyDescent="0.35">
      <c r="E238" s="1"/>
      <c r="F238" s="1"/>
      <c r="G238" s="1"/>
      <c r="R238" s="2"/>
    </row>
    <row r="239" spans="5:18" ht="15.75" customHeight="1" x14ac:dyDescent="0.35">
      <c r="E239" s="1"/>
      <c r="F239" s="1"/>
      <c r="G239" s="1"/>
      <c r="R239" s="2"/>
    </row>
    <row r="240" spans="5:18" ht="15.75" customHeight="1" x14ac:dyDescent="0.35">
      <c r="E240" s="1"/>
      <c r="F240" s="1"/>
      <c r="G240" s="1"/>
      <c r="R240" s="2"/>
    </row>
    <row r="241" spans="5:18" ht="15.75" customHeight="1" x14ac:dyDescent="0.35">
      <c r="E241" s="1"/>
      <c r="F241" s="1"/>
      <c r="G241" s="1"/>
      <c r="R241" s="2"/>
    </row>
    <row r="242" spans="5:18" ht="15.75" customHeight="1" x14ac:dyDescent="0.35">
      <c r="E242" s="1"/>
      <c r="F242" s="1"/>
      <c r="G242" s="1"/>
      <c r="R242" s="2"/>
    </row>
    <row r="243" spans="5:18" ht="15.75" customHeight="1" x14ac:dyDescent="0.35">
      <c r="E243" s="1"/>
      <c r="F243" s="1"/>
      <c r="G243" s="1"/>
      <c r="R243" s="2"/>
    </row>
    <row r="244" spans="5:18" ht="15.75" customHeight="1" x14ac:dyDescent="0.35"/>
    <row r="245" spans="5:18" ht="15.75" customHeight="1" x14ac:dyDescent="0.35"/>
    <row r="246" spans="5:18" ht="15.75" customHeight="1" x14ac:dyDescent="0.35"/>
    <row r="247" spans="5:18" ht="15.75" customHeight="1" x14ac:dyDescent="0.35"/>
    <row r="248" spans="5:18" ht="15.75" customHeight="1" x14ac:dyDescent="0.35"/>
    <row r="249" spans="5:18" ht="15.75" customHeight="1" x14ac:dyDescent="0.35"/>
    <row r="250" spans="5:18" ht="15.75" customHeight="1" x14ac:dyDescent="0.35"/>
    <row r="251" spans="5:18" ht="15.75" customHeight="1" x14ac:dyDescent="0.35"/>
    <row r="252" spans="5:18" ht="15.75" customHeight="1" x14ac:dyDescent="0.35"/>
    <row r="253" spans="5:18" ht="15.75" customHeight="1" x14ac:dyDescent="0.35"/>
    <row r="254" spans="5:18" ht="15.75" customHeight="1" x14ac:dyDescent="0.35"/>
    <row r="255" spans="5:18" ht="15.75" customHeight="1" x14ac:dyDescent="0.35"/>
    <row r="256" spans="5:18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</sheetData>
  <mergeCells count="57">
    <mergeCell ref="E40:F40"/>
    <mergeCell ref="E41:F41"/>
    <mergeCell ref="E42:E43"/>
    <mergeCell ref="E32:F32"/>
    <mergeCell ref="E33:F33"/>
    <mergeCell ref="E34:E35"/>
    <mergeCell ref="E37:H37"/>
    <mergeCell ref="E38:F38"/>
    <mergeCell ref="E39:F39"/>
    <mergeCell ref="Z25:AB25"/>
    <mergeCell ref="AD25:AF25"/>
    <mergeCell ref="E28:H28"/>
    <mergeCell ref="E29:H29"/>
    <mergeCell ref="E30:F30"/>
    <mergeCell ref="E31:F31"/>
    <mergeCell ref="A25:D25"/>
    <mergeCell ref="F25:H25"/>
    <mergeCell ref="J25:L25"/>
    <mergeCell ref="N25:P25"/>
    <mergeCell ref="R25:T25"/>
    <mergeCell ref="V25:X25"/>
    <mergeCell ref="AE14:AE23"/>
    <mergeCell ref="AF14:AF23"/>
    <mergeCell ref="A24:D24"/>
    <mergeCell ref="F24:H24"/>
    <mergeCell ref="J24:L24"/>
    <mergeCell ref="N24:P24"/>
    <mergeCell ref="R24:T24"/>
    <mergeCell ref="V24:X24"/>
    <mergeCell ref="Z24:AB24"/>
    <mergeCell ref="AD24:AF24"/>
    <mergeCell ref="S14:S23"/>
    <mergeCell ref="T14:T23"/>
    <mergeCell ref="W14:W23"/>
    <mergeCell ref="X14:X23"/>
    <mergeCell ref="AA14:AA23"/>
    <mergeCell ref="AB14:AB23"/>
    <mergeCell ref="Z12:AC12"/>
    <mergeCell ref="AD12:AG12"/>
    <mergeCell ref="C14:C23"/>
    <mergeCell ref="D14:D23"/>
    <mergeCell ref="G14:G23"/>
    <mergeCell ref="H14:H23"/>
    <mergeCell ref="K14:K23"/>
    <mergeCell ref="L14:L23"/>
    <mergeCell ref="O14:O23"/>
    <mergeCell ref="P14:P23"/>
    <mergeCell ref="A11:A13"/>
    <mergeCell ref="F11:I11"/>
    <mergeCell ref="R11:U11"/>
    <mergeCell ref="V11:Y11"/>
    <mergeCell ref="B12:E12"/>
    <mergeCell ref="F12:I12"/>
    <mergeCell ref="J12:M12"/>
    <mergeCell ref="N12:Q12"/>
    <mergeCell ref="R12:U12"/>
    <mergeCell ref="V12:Y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2023-03-14T04:54:09Z</dcterms:created>
  <dcterms:modified xsi:type="dcterms:W3CDTF">2023-03-14T04:54:17Z</dcterms:modified>
</cp:coreProperties>
</file>