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Angka Penting\"/>
    </mc:Choice>
  </mc:AlternateContent>
  <xr:revisionPtr revIDLastSave="0" documentId="8_{DD24F904-4099-4467-82E3-82E21ECDC633}" xr6:coauthVersionLast="47" xr6:coauthVersionMax="47" xr10:uidLastSave="{00000000-0000-0000-0000-000000000000}"/>
  <bookViews>
    <workbookView xWindow="-110" yWindow="-110" windowWidth="19420" windowHeight="10300" xr2:uid="{DCEBACA0-3394-4AD7-9A24-FBBA1B33C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5" i="1" l="1"/>
  <c r="D155" i="1"/>
  <c r="G155" i="1" s="1"/>
  <c r="L154" i="1"/>
  <c r="D154" i="1"/>
  <c r="L153" i="1"/>
  <c r="D153" i="1"/>
  <c r="L152" i="1"/>
  <c r="D152" i="1"/>
  <c r="L151" i="1"/>
  <c r="D151" i="1"/>
  <c r="L150" i="1"/>
  <c r="D150" i="1"/>
  <c r="L149" i="1"/>
  <c r="D149" i="1"/>
  <c r="L148" i="1"/>
  <c r="D148" i="1"/>
  <c r="L147" i="1"/>
  <c r="D147" i="1"/>
  <c r="L146" i="1"/>
  <c r="D146" i="1"/>
  <c r="L145" i="1"/>
  <c r="D145" i="1"/>
  <c r="L144" i="1"/>
  <c r="D144" i="1"/>
  <c r="L143" i="1"/>
  <c r="D143" i="1"/>
  <c r="L142" i="1"/>
  <c r="D142" i="1"/>
  <c r="L141" i="1"/>
  <c r="D141" i="1"/>
  <c r="H156" i="1" s="1"/>
  <c r="F138" i="1"/>
  <c r="E141" i="1" s="1"/>
  <c r="F141" i="1" s="1"/>
  <c r="L135" i="1"/>
  <c r="O135" i="1" s="1"/>
  <c r="D135" i="1"/>
  <c r="L134" i="1"/>
  <c r="O134" i="1" s="1"/>
  <c r="D134" i="1"/>
  <c r="L133" i="1"/>
  <c r="D133" i="1"/>
  <c r="L132" i="1"/>
  <c r="D132" i="1"/>
  <c r="L131" i="1"/>
  <c r="O131" i="1" s="1"/>
  <c r="D131" i="1"/>
  <c r="L130" i="1"/>
  <c r="O130" i="1" s="1"/>
  <c r="D130" i="1"/>
  <c r="L129" i="1"/>
  <c r="D129" i="1"/>
  <c r="L128" i="1"/>
  <c r="O128" i="1" s="1"/>
  <c r="D128" i="1"/>
  <c r="L127" i="1"/>
  <c r="O127" i="1" s="1"/>
  <c r="D127" i="1"/>
  <c r="L126" i="1"/>
  <c r="O126" i="1" s="1"/>
  <c r="D126" i="1"/>
  <c r="L125" i="1"/>
  <c r="D125" i="1"/>
  <c r="L124" i="1"/>
  <c r="O124" i="1" s="1"/>
  <c r="D124" i="1"/>
  <c r="L123" i="1"/>
  <c r="O123" i="1" s="1"/>
  <c r="D123" i="1"/>
  <c r="L122" i="1"/>
  <c r="O122" i="1" s="1"/>
  <c r="D122" i="1"/>
  <c r="N121" i="1"/>
  <c r="M121" i="1"/>
  <c r="L121" i="1"/>
  <c r="O121" i="1" s="1"/>
  <c r="F121" i="1"/>
  <c r="E121" i="1"/>
  <c r="D121" i="1"/>
  <c r="F118" i="1"/>
  <c r="L115" i="1"/>
  <c r="D115" i="1"/>
  <c r="L114" i="1"/>
  <c r="D114" i="1"/>
  <c r="L113" i="1"/>
  <c r="D113" i="1"/>
  <c r="L112" i="1"/>
  <c r="D112" i="1"/>
  <c r="L111" i="1"/>
  <c r="D111" i="1"/>
  <c r="L110" i="1"/>
  <c r="D110" i="1"/>
  <c r="L109" i="1"/>
  <c r="D109" i="1"/>
  <c r="L108" i="1"/>
  <c r="D108" i="1"/>
  <c r="L107" i="1"/>
  <c r="D107" i="1"/>
  <c r="L106" i="1"/>
  <c r="D106" i="1"/>
  <c r="L105" i="1"/>
  <c r="D105" i="1"/>
  <c r="L104" i="1"/>
  <c r="D104" i="1"/>
  <c r="L103" i="1"/>
  <c r="D103" i="1"/>
  <c r="L102" i="1"/>
  <c r="D102" i="1"/>
  <c r="M101" i="1"/>
  <c r="N101" i="1" s="1"/>
  <c r="L101" i="1"/>
  <c r="O101" i="1" s="1"/>
  <c r="E101" i="1"/>
  <c r="F101" i="1" s="1"/>
  <c r="D101" i="1"/>
  <c r="G101" i="1" s="1"/>
  <c r="F98" i="1"/>
  <c r="L95" i="1"/>
  <c r="D95" i="1"/>
  <c r="L94" i="1"/>
  <c r="D94" i="1"/>
  <c r="L93" i="1"/>
  <c r="D93" i="1"/>
  <c r="L92" i="1"/>
  <c r="D92" i="1"/>
  <c r="L91" i="1"/>
  <c r="D91" i="1"/>
  <c r="L90" i="1"/>
  <c r="D90" i="1"/>
  <c r="L89" i="1"/>
  <c r="D89" i="1"/>
  <c r="L88" i="1"/>
  <c r="D88" i="1"/>
  <c r="L87" i="1"/>
  <c r="D87" i="1"/>
  <c r="L86" i="1"/>
  <c r="D86" i="1"/>
  <c r="L85" i="1"/>
  <c r="D85" i="1"/>
  <c r="L84" i="1"/>
  <c r="D84" i="1"/>
  <c r="L83" i="1"/>
  <c r="D83" i="1"/>
  <c r="L82" i="1"/>
  <c r="D82" i="1"/>
  <c r="L81" i="1"/>
  <c r="D81" i="1"/>
  <c r="F78" i="1"/>
  <c r="E81" i="1" s="1"/>
  <c r="F81" i="1" s="1"/>
  <c r="L75" i="1"/>
  <c r="D75" i="1"/>
  <c r="L74" i="1"/>
  <c r="D74" i="1"/>
  <c r="L73" i="1"/>
  <c r="D73" i="1"/>
  <c r="L72" i="1"/>
  <c r="D72" i="1"/>
  <c r="L71" i="1"/>
  <c r="D71" i="1"/>
  <c r="L70" i="1"/>
  <c r="D70" i="1"/>
  <c r="L69" i="1"/>
  <c r="D69" i="1"/>
  <c r="L68" i="1"/>
  <c r="D68" i="1"/>
  <c r="L67" i="1"/>
  <c r="D67" i="1"/>
  <c r="L66" i="1"/>
  <c r="D66" i="1"/>
  <c r="L65" i="1"/>
  <c r="D65" i="1"/>
  <c r="L64" i="1"/>
  <c r="D64" i="1"/>
  <c r="L63" i="1"/>
  <c r="D63" i="1"/>
  <c r="L62" i="1"/>
  <c r="D62" i="1"/>
  <c r="L61" i="1"/>
  <c r="D61" i="1"/>
  <c r="F58" i="1"/>
  <c r="M61" i="1" s="1"/>
  <c r="N61" i="1" s="1"/>
  <c r="L55" i="1"/>
  <c r="D55" i="1"/>
  <c r="L54" i="1"/>
  <c r="D54" i="1"/>
  <c r="L53" i="1"/>
  <c r="D53" i="1"/>
  <c r="L52" i="1"/>
  <c r="D52" i="1"/>
  <c r="L51" i="1"/>
  <c r="D51" i="1"/>
  <c r="L50" i="1"/>
  <c r="D50" i="1"/>
  <c r="L49" i="1"/>
  <c r="D49" i="1"/>
  <c r="L48" i="1"/>
  <c r="D48" i="1"/>
  <c r="L47" i="1"/>
  <c r="D47" i="1"/>
  <c r="L46" i="1"/>
  <c r="D46" i="1"/>
  <c r="L45" i="1"/>
  <c r="D45" i="1"/>
  <c r="L44" i="1"/>
  <c r="D44" i="1"/>
  <c r="L43" i="1"/>
  <c r="D43" i="1"/>
  <c r="L42" i="1"/>
  <c r="D42" i="1"/>
  <c r="L41" i="1"/>
  <c r="D41" i="1"/>
  <c r="F38" i="1"/>
  <c r="E41" i="1" s="1"/>
  <c r="F41" i="1" s="1"/>
  <c r="L34" i="1"/>
  <c r="D34" i="1"/>
  <c r="L33" i="1"/>
  <c r="D33" i="1"/>
  <c r="L32" i="1"/>
  <c r="D32" i="1"/>
  <c r="L31" i="1"/>
  <c r="D31" i="1"/>
  <c r="G31" i="1" s="1"/>
  <c r="L30" i="1"/>
  <c r="D30" i="1"/>
  <c r="L29" i="1"/>
  <c r="D29" i="1"/>
  <c r="L28" i="1"/>
  <c r="D28" i="1"/>
  <c r="L27" i="1"/>
  <c r="D27" i="1"/>
  <c r="G27" i="1" s="1"/>
  <c r="L26" i="1"/>
  <c r="D26" i="1"/>
  <c r="L25" i="1"/>
  <c r="D25" i="1"/>
  <c r="H35" i="1" s="1"/>
  <c r="F22" i="1"/>
  <c r="E25" i="1" s="1"/>
  <c r="F25" i="1" s="1"/>
  <c r="L19" i="1"/>
  <c r="D19" i="1"/>
  <c r="L18" i="1"/>
  <c r="D18" i="1"/>
  <c r="L17" i="1"/>
  <c r="D17" i="1"/>
  <c r="L16" i="1"/>
  <c r="D16" i="1"/>
  <c r="L15" i="1"/>
  <c r="D15" i="1"/>
  <c r="L14" i="1"/>
  <c r="D14" i="1"/>
  <c r="L13" i="1"/>
  <c r="D13" i="1"/>
  <c r="L12" i="1"/>
  <c r="D12" i="1"/>
  <c r="L11" i="1"/>
  <c r="D11" i="1"/>
  <c r="L10" i="1"/>
  <c r="D10" i="1"/>
  <c r="H20" i="1" s="1"/>
  <c r="F7" i="1"/>
  <c r="E10" i="1" s="1"/>
  <c r="F10" i="1" s="1"/>
  <c r="G135" i="1" l="1"/>
  <c r="G133" i="1"/>
  <c r="G131" i="1"/>
  <c r="G129" i="1"/>
  <c r="G127" i="1"/>
  <c r="G125" i="1"/>
  <c r="G123" i="1"/>
  <c r="G54" i="1"/>
  <c r="G52" i="1"/>
  <c r="G50" i="1"/>
  <c r="G48" i="1"/>
  <c r="G46" i="1"/>
  <c r="G44" i="1"/>
  <c r="G42" i="1"/>
  <c r="G34" i="1"/>
  <c r="G32" i="1"/>
  <c r="G30" i="1"/>
  <c r="G28" i="1"/>
  <c r="G26" i="1"/>
  <c r="G19" i="1"/>
  <c r="G17" i="1"/>
  <c r="G134" i="1"/>
  <c r="G132" i="1"/>
  <c r="G130" i="1"/>
  <c r="G128" i="1"/>
  <c r="G126" i="1"/>
  <c r="G124" i="1"/>
  <c r="G122" i="1"/>
  <c r="G55" i="1"/>
  <c r="G53" i="1"/>
  <c r="G51" i="1"/>
  <c r="G49" i="1"/>
  <c r="G47" i="1"/>
  <c r="G45" i="1"/>
  <c r="G153" i="1"/>
  <c r="G151" i="1"/>
  <c r="G149" i="1"/>
  <c r="G147" i="1"/>
  <c r="G145" i="1"/>
  <c r="G143" i="1"/>
  <c r="G141" i="1"/>
  <c r="O48" i="1"/>
  <c r="O81" i="1"/>
  <c r="G144" i="1"/>
  <c r="G148" i="1"/>
  <c r="G152" i="1"/>
  <c r="G11" i="1"/>
  <c r="G15" i="1"/>
  <c r="G41" i="1"/>
  <c r="G82" i="1"/>
  <c r="G86" i="1"/>
  <c r="G90" i="1"/>
  <c r="G94" i="1"/>
  <c r="O105" i="1"/>
  <c r="O109" i="1"/>
  <c r="O132" i="1"/>
  <c r="G83" i="1"/>
  <c r="G87" i="1"/>
  <c r="G91" i="1"/>
  <c r="G95" i="1"/>
  <c r="G29" i="1"/>
  <c r="G33" i="1"/>
  <c r="O42" i="1"/>
  <c r="G71" i="1"/>
  <c r="G75" i="1"/>
  <c r="O125" i="1"/>
  <c r="O129" i="1"/>
  <c r="O133" i="1"/>
  <c r="G142" i="1"/>
  <c r="G146" i="1"/>
  <c r="G150" i="1"/>
  <c r="G154" i="1"/>
  <c r="G12" i="1"/>
  <c r="G16" i="1"/>
  <c r="G13" i="1"/>
  <c r="G43" i="1"/>
  <c r="G84" i="1"/>
  <c r="G88" i="1"/>
  <c r="G92" i="1"/>
  <c r="O103" i="1"/>
  <c r="O107" i="1"/>
  <c r="O111" i="1"/>
  <c r="O94" i="1"/>
  <c r="O92" i="1"/>
  <c r="O90" i="1"/>
  <c r="O88" i="1"/>
  <c r="O86" i="1"/>
  <c r="O84" i="1"/>
  <c r="O82" i="1"/>
  <c r="O95" i="1"/>
  <c r="O93" i="1"/>
  <c r="O91" i="1"/>
  <c r="O89" i="1"/>
  <c r="O87" i="1"/>
  <c r="O85" i="1"/>
  <c r="O83" i="1"/>
  <c r="G14" i="1"/>
  <c r="G18" i="1"/>
  <c r="G81" i="1"/>
  <c r="G85" i="1"/>
  <c r="G89" i="1"/>
  <c r="G93" i="1"/>
  <c r="O115" i="1"/>
  <c r="O113" i="1"/>
  <c r="O153" i="1"/>
  <c r="O151" i="1"/>
  <c r="O149" i="1"/>
  <c r="O147" i="1"/>
  <c r="O145" i="1"/>
  <c r="O143" i="1"/>
  <c r="O141" i="1"/>
  <c r="G115" i="1"/>
  <c r="G113" i="1"/>
  <c r="G111" i="1"/>
  <c r="G109" i="1"/>
  <c r="G107" i="1"/>
  <c r="G105" i="1"/>
  <c r="G103" i="1"/>
  <c r="O116" i="1" s="1"/>
  <c r="O148" i="1"/>
  <c r="G102" i="1"/>
  <c r="O150" i="1"/>
  <c r="O146" i="1"/>
  <c r="G114" i="1"/>
  <c r="G110" i="1"/>
  <c r="G106" i="1"/>
  <c r="O114" i="1"/>
  <c r="O112" i="1"/>
  <c r="O110" i="1"/>
  <c r="O108" i="1"/>
  <c r="O106" i="1"/>
  <c r="O104" i="1"/>
  <c r="O102" i="1"/>
  <c r="O152" i="1"/>
  <c r="O144" i="1"/>
  <c r="G112" i="1"/>
  <c r="G108" i="1"/>
  <c r="O154" i="1"/>
  <c r="O142" i="1"/>
  <c r="G104" i="1"/>
  <c r="G121" i="1"/>
  <c r="O155" i="1"/>
  <c r="G10" i="1"/>
  <c r="G25" i="1"/>
  <c r="M81" i="1"/>
  <c r="N81" i="1" s="1"/>
  <c r="E61" i="1"/>
  <c r="F61" i="1" s="1"/>
  <c r="G69" i="1" s="1"/>
  <c r="M141" i="1"/>
  <c r="N141" i="1" s="1"/>
  <c r="M10" i="1"/>
  <c r="N10" i="1" s="1"/>
  <c r="M25" i="1"/>
  <c r="N25" i="1" s="1"/>
  <c r="M41" i="1"/>
  <c r="N41" i="1" s="1"/>
  <c r="O52" i="1" s="1"/>
  <c r="O51" i="1" l="1"/>
  <c r="O156" i="1"/>
  <c r="G156" i="1"/>
  <c r="O96" i="1"/>
  <c r="G96" i="1"/>
  <c r="O47" i="1"/>
  <c r="G67" i="1"/>
  <c r="O45" i="1"/>
  <c r="O34" i="1"/>
  <c r="O43" i="1"/>
  <c r="G63" i="1"/>
  <c r="O19" i="1"/>
  <c r="G73" i="1"/>
  <c r="O13" i="1"/>
  <c r="G116" i="1"/>
  <c r="O49" i="1"/>
  <c r="O74" i="1"/>
  <c r="O72" i="1"/>
  <c r="O70" i="1"/>
  <c r="O68" i="1"/>
  <c r="O66" i="1"/>
  <c r="O64" i="1"/>
  <c r="O62" i="1"/>
  <c r="G61" i="1"/>
  <c r="O63" i="1"/>
  <c r="O73" i="1"/>
  <c r="O69" i="1"/>
  <c r="G74" i="1"/>
  <c r="G72" i="1"/>
  <c r="G70" i="1"/>
  <c r="G68" i="1"/>
  <c r="G66" i="1"/>
  <c r="G64" i="1"/>
  <c r="G62" i="1"/>
  <c r="O75" i="1"/>
  <c r="O65" i="1"/>
  <c r="O71" i="1"/>
  <c r="O67" i="1"/>
  <c r="O61" i="1"/>
  <c r="O30" i="1"/>
  <c r="O54" i="1"/>
  <c r="O26" i="1"/>
  <c r="G35" i="1" s="1"/>
  <c r="O28" i="1"/>
  <c r="O50" i="1"/>
  <c r="O11" i="1"/>
  <c r="G65" i="1"/>
  <c r="O15" i="1"/>
  <c r="O46" i="1"/>
  <c r="O32" i="1"/>
  <c r="O33" i="1"/>
  <c r="O31" i="1"/>
  <c r="O29" i="1"/>
  <c r="O27" i="1"/>
  <c r="O25" i="1"/>
  <c r="O35" i="1" s="1"/>
  <c r="O18" i="1"/>
  <c r="O16" i="1"/>
  <c r="O12" i="1"/>
  <c r="O10" i="1"/>
  <c r="O20" i="1" s="1"/>
  <c r="O41" i="1"/>
  <c r="O14" i="1"/>
  <c r="O55" i="1"/>
  <c r="O17" i="1"/>
  <c r="O53" i="1"/>
  <c r="O44" i="1"/>
  <c r="G56" i="1" s="1"/>
  <c r="O136" i="1"/>
  <c r="G136" i="1"/>
  <c r="G20" i="1" l="1"/>
  <c r="O56" i="1"/>
  <c r="O76" i="1"/>
  <c r="G76" i="1"/>
</calcChain>
</file>

<file path=xl/sharedStrings.xml><?xml version="1.0" encoding="utf-8"?>
<sst xmlns="http://schemas.openxmlformats.org/spreadsheetml/2006/main" count="198" uniqueCount="33">
  <si>
    <t xml:space="preserve">Diameter Rerata (µm) </t>
  </si>
  <si>
    <t>Jejari Rerata (µm)</t>
  </si>
  <si>
    <t>Massa Jenis Air</t>
  </si>
  <si>
    <t>g/cm³</t>
  </si>
  <si>
    <t>Progress per 10 Januari 2023</t>
  </si>
  <si>
    <t xml:space="preserve"> P1.5% CaCl2 </t>
  </si>
  <si>
    <t>Rekap Uji Porositas (Massa Jenis Air = 0.997 g/cm^3)</t>
  </si>
  <si>
    <t>No</t>
  </si>
  <si>
    <t>M dry</t>
  </si>
  <si>
    <t>M sat</t>
  </si>
  <si>
    <t>Msat - Mdry</t>
  </si>
  <si>
    <t>r (cm)</t>
  </si>
  <si>
    <t>Vol. HA (Va)</t>
  </si>
  <si>
    <t>%</t>
  </si>
  <si>
    <t>CaCl2</t>
  </si>
  <si>
    <t>P 0.5%</t>
  </si>
  <si>
    <t>P 1.0%</t>
  </si>
  <si>
    <t>P 1.5%</t>
  </si>
  <si>
    <t>NP</t>
  </si>
  <si>
    <t>M sat - M dry</t>
  </si>
  <si>
    <t>belum</t>
  </si>
  <si>
    <t>V</t>
  </si>
  <si>
    <t>Average</t>
  </si>
  <si>
    <t>St Dev</t>
  </si>
  <si>
    <t>Chitosant + As. Asetat</t>
  </si>
  <si>
    <t xml:space="preserve"> P1.5% Chitosant</t>
  </si>
  <si>
    <t xml:space="preserve"> P1.0% CaCl2 </t>
  </si>
  <si>
    <t xml:space="preserve"> P1.0% Chitosant</t>
  </si>
  <si>
    <t xml:space="preserve"> P0.5% CaCl2 </t>
  </si>
  <si>
    <t>r (mm)</t>
  </si>
  <si>
    <t xml:space="preserve"> P0.5% Chitosant</t>
  </si>
  <si>
    <t>Nonporogen CaCl2</t>
  </si>
  <si>
    <t>Nonporogen Chitosant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</si>
</sst>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6" formatCode="0.00000"/>
    <numFmt numFmtId="167" formatCode="0.000"/>
    <numFmt numFmtId="170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Inconsolata"/>
    </font>
  </fonts>
  <fills count="15">
    <fill>
      <patternFill patternType="none"/>
    </fill>
    <fill>
      <patternFill patternType="gray125"/>
    </fill>
    <fill>
      <patternFill patternType="solid">
        <fgColor rgb="FFCCF6BD"/>
        <bgColor rgb="FFCCF6B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99ACFF"/>
        <bgColor rgb="FF99ACFF"/>
      </patternFill>
    </fill>
    <fill>
      <patternFill patternType="solid">
        <fgColor rgb="FF99DFFF"/>
        <bgColor rgb="FF99DFFF"/>
      </patternFill>
    </fill>
    <fill>
      <patternFill patternType="solid">
        <fgColor rgb="FF99FFEC"/>
        <bgColor rgb="FF99FFEC"/>
      </patternFill>
    </fill>
    <fill>
      <patternFill patternType="solid">
        <fgColor rgb="FFFFEC99"/>
        <bgColor rgb="FFFFEC99"/>
      </patternFill>
    </fill>
    <fill>
      <patternFill patternType="solid">
        <fgColor rgb="FFFFBA99"/>
        <bgColor rgb="FFFFBA99"/>
      </patternFill>
    </fill>
    <fill>
      <patternFill patternType="solid">
        <fgColor rgb="FFFF99AC"/>
        <bgColor rgb="FFFF99AC"/>
      </patternFill>
    </fill>
    <fill>
      <patternFill patternType="solid">
        <fgColor rgb="FFFFF2CC"/>
        <bgColor rgb="FFFFF2CC"/>
      </patternFill>
    </fill>
    <fill>
      <patternFill patternType="solid">
        <fgColor rgb="FFCAF2FA"/>
        <bgColor rgb="FFCAF2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4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6" xfId="0" applyFont="1" applyBorder="1"/>
    <xf numFmtId="0" fontId="4" fillId="0" borderId="7" xfId="0" applyFont="1" applyBorder="1"/>
    <xf numFmtId="0" fontId="1" fillId="6" borderId="8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4" fillId="0" borderId="11" xfId="0" applyFont="1" applyBorder="1"/>
    <xf numFmtId="0" fontId="3" fillId="8" borderId="1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11" borderId="0" xfId="0" applyFont="1" applyFill="1" applyAlignment="1">
      <alignment horizontal="center"/>
    </xf>
    <xf numFmtId="164" fontId="2" fillId="11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2" fillId="12" borderId="0" xfId="0" applyFont="1" applyFill="1" applyAlignment="1">
      <alignment horizontal="center"/>
    </xf>
    <xf numFmtId="0" fontId="1" fillId="13" borderId="0" xfId="0" applyFont="1" applyFill="1"/>
    <xf numFmtId="0" fontId="2" fillId="4" borderId="5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5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5" fillId="0" borderId="14" xfId="0" applyFont="1" applyBorder="1" applyAlignment="1">
      <alignment horizontal="right"/>
    </xf>
    <xf numFmtId="0" fontId="1" fillId="14" borderId="0" xfId="0" applyFont="1" applyFill="1" applyAlignment="1">
      <alignment horizontal="center"/>
    </xf>
    <xf numFmtId="164" fontId="1" fillId="1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6" fillId="13" borderId="0" xfId="0" applyFont="1" applyFill="1"/>
    <xf numFmtId="167" fontId="1" fillId="0" borderId="5" xfId="0" applyNumberFormat="1" applyFont="1" applyBorder="1" applyAlignment="1">
      <alignment horizontal="center" vertical="center"/>
    </xf>
    <xf numFmtId="167" fontId="4" fillId="0" borderId="9" xfId="0" applyNumberFormat="1" applyFont="1" applyBorder="1"/>
    <xf numFmtId="167" fontId="4" fillId="0" borderId="12" xfId="0" applyNumberFormat="1" applyFont="1" applyBorder="1"/>
    <xf numFmtId="2" fontId="1" fillId="0" borderId="5" xfId="0" applyNumberFormat="1" applyFont="1" applyBorder="1" applyAlignment="1">
      <alignment horizontal="center" vertical="center"/>
    </xf>
    <xf numFmtId="2" fontId="4" fillId="0" borderId="9" xfId="0" applyNumberFormat="1" applyFont="1" applyBorder="1"/>
    <xf numFmtId="2" fontId="4" fillId="0" borderId="12" xfId="0" applyNumberFormat="1" applyFont="1" applyBorder="1"/>
    <xf numFmtId="170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66" fontId="2" fillId="11" borderId="0" xfId="0" applyNumberFormat="1" applyFont="1" applyFill="1" applyAlignment="1">
      <alignment horizontal="center"/>
    </xf>
    <xf numFmtId="1" fontId="2" fillId="11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center" vertical="center"/>
    </xf>
    <xf numFmtId="167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0</xdr:row>
      <xdr:rowOff>200025</xdr:rowOff>
    </xdr:from>
    <xdr:ext cx="2809875" cy="895350"/>
    <xdr:pic>
      <xdr:nvPicPr>
        <xdr:cNvPr id="2" name="image68.png" title="Image">
          <a:extLst>
            <a:ext uri="{FF2B5EF4-FFF2-40B4-BE49-F238E27FC236}">
              <a16:creationId xmlns:a16="http://schemas.microsoft.com/office/drawing/2014/main" id="{6EE9D882-AB51-4C21-B321-C059F6C7CB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9900" y="193675"/>
          <a:ext cx="280987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1</xdr:row>
      <xdr:rowOff>57150</xdr:rowOff>
    </xdr:from>
    <xdr:ext cx="2324100" cy="790575"/>
    <xdr:pic>
      <xdr:nvPicPr>
        <xdr:cNvPr id="3" name="image65.png" title="Image">
          <a:extLst>
            <a:ext uri="{FF2B5EF4-FFF2-40B4-BE49-F238E27FC236}">
              <a16:creationId xmlns:a16="http://schemas.microsoft.com/office/drawing/2014/main" id="{74AD2B6C-3C6C-4710-A700-2B2201A91B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63875" y="254000"/>
          <a:ext cx="2324100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EC05-5CEF-46B9-BD09-E4E5214FE0D8}">
  <dimension ref="A1:V990"/>
  <sheetViews>
    <sheetView tabSelected="1" topLeftCell="B12" workbookViewId="0">
      <selection activeCell="G18" sqref="G18"/>
    </sheetView>
  </sheetViews>
  <sheetFormatPr defaultColWidth="12.6328125" defaultRowHeight="15" customHeight="1" x14ac:dyDescent="0.35"/>
  <cols>
    <col min="1" max="1" width="6.7265625" customWidth="1"/>
    <col min="2" max="2" width="11.36328125" customWidth="1"/>
    <col min="3" max="3" width="11.08984375" customWidth="1"/>
    <col min="4" max="4" width="11" customWidth="1"/>
    <col min="5" max="5" width="11.08984375" customWidth="1"/>
    <col min="6" max="6" width="14.453125" customWidth="1"/>
    <col min="7" max="7" width="13.453125" bestFit="1" customWidth="1"/>
    <col min="9" max="9" width="9.08984375" customWidth="1"/>
    <col min="10" max="10" width="11.7265625" customWidth="1"/>
    <col min="11" max="12" width="11.6328125" customWidth="1"/>
    <col min="13" max="13" width="12.26953125" customWidth="1"/>
  </cols>
  <sheetData>
    <row r="1" spans="1:22" ht="15.75" customHeight="1" x14ac:dyDescent="0.35">
      <c r="A1" s="1"/>
      <c r="B1" s="1"/>
      <c r="C1" s="1"/>
      <c r="D1" s="1"/>
      <c r="E1" s="1"/>
      <c r="F1" s="1"/>
      <c r="G1" s="1"/>
    </row>
    <row r="2" spans="1:22" ht="15.75" customHeight="1" x14ac:dyDescent="0.35">
      <c r="A2" s="1"/>
      <c r="B2" s="1"/>
      <c r="C2" s="1"/>
      <c r="D2" s="1"/>
      <c r="E2" s="1"/>
      <c r="F2" s="1"/>
      <c r="G2" s="1"/>
    </row>
    <row r="3" spans="1:22" ht="15.75" customHeight="1" x14ac:dyDescent="0.35">
      <c r="A3" s="1"/>
      <c r="B3" s="1"/>
      <c r="C3" s="1"/>
      <c r="D3" s="1"/>
      <c r="E3" s="1"/>
      <c r="F3" s="1"/>
      <c r="G3" s="1"/>
    </row>
    <row r="4" spans="1:22" ht="15.75" customHeight="1" x14ac:dyDescent="0.35">
      <c r="A4" s="1"/>
      <c r="B4" s="1"/>
      <c r="C4" s="1"/>
      <c r="D4" s="1"/>
      <c r="E4" s="1"/>
      <c r="F4" s="1"/>
      <c r="G4" s="1"/>
    </row>
    <row r="5" spans="1:22" ht="15.75" customHeight="1" x14ac:dyDescent="0.35">
      <c r="A5" s="1"/>
      <c r="B5" s="1"/>
      <c r="C5" s="1"/>
      <c r="D5" s="1"/>
      <c r="E5" s="1"/>
      <c r="F5" s="1"/>
      <c r="G5" s="1"/>
    </row>
    <row r="6" spans="1:22" ht="15.75" customHeight="1" x14ac:dyDescent="0.35">
      <c r="A6" s="1"/>
      <c r="B6" s="1"/>
      <c r="C6" s="1"/>
      <c r="D6" s="1"/>
      <c r="E6" s="1"/>
      <c r="F6" s="1"/>
      <c r="G6" s="1"/>
    </row>
    <row r="7" spans="1:22" ht="15.75" customHeight="1" x14ac:dyDescent="0.35">
      <c r="A7" s="2" t="s">
        <v>0</v>
      </c>
      <c r="B7" s="3"/>
      <c r="C7" s="1">
        <v>1575.55</v>
      </c>
      <c r="D7" s="2" t="s">
        <v>1</v>
      </c>
      <c r="E7" s="3"/>
      <c r="F7" s="1">
        <f>C7/2</f>
        <v>787.77499999999998</v>
      </c>
      <c r="G7" s="4" t="s">
        <v>2</v>
      </c>
      <c r="H7" s="4">
        <v>0.997</v>
      </c>
      <c r="I7" s="4" t="s">
        <v>3</v>
      </c>
      <c r="Q7" s="4" t="s">
        <v>4</v>
      </c>
    </row>
    <row r="8" spans="1:22" ht="15.75" customHeight="1" x14ac:dyDescent="0.35">
      <c r="A8" s="5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Q8" s="6" t="s">
        <v>6</v>
      </c>
      <c r="R8" s="7"/>
      <c r="S8" s="7"/>
      <c r="T8" s="7"/>
      <c r="U8" s="7"/>
      <c r="V8" s="8"/>
    </row>
    <row r="9" spans="1:22" ht="15.75" customHeight="1" x14ac:dyDescent="0.35">
      <c r="A9" s="9" t="s">
        <v>7</v>
      </c>
      <c r="B9" s="9" t="s">
        <v>8</v>
      </c>
      <c r="C9" s="9" t="s">
        <v>9</v>
      </c>
      <c r="D9" s="10" t="s">
        <v>10</v>
      </c>
      <c r="E9" s="9" t="s">
        <v>11</v>
      </c>
      <c r="F9" s="9" t="s">
        <v>12</v>
      </c>
      <c r="G9" s="9" t="s">
        <v>13</v>
      </c>
      <c r="I9" s="9" t="s">
        <v>7</v>
      </c>
      <c r="J9" s="9" t="s">
        <v>8</v>
      </c>
      <c r="K9" s="9" t="s">
        <v>9</v>
      </c>
      <c r="L9" s="10" t="s">
        <v>10</v>
      </c>
      <c r="M9" s="9" t="s">
        <v>11</v>
      </c>
      <c r="N9" s="9" t="s">
        <v>12</v>
      </c>
      <c r="O9" s="9" t="s">
        <v>13</v>
      </c>
      <c r="Q9" s="11" t="s">
        <v>14</v>
      </c>
      <c r="R9" s="7"/>
      <c r="S9" s="7"/>
      <c r="T9" s="7"/>
      <c r="U9" s="7"/>
      <c r="V9" s="8"/>
    </row>
    <row r="10" spans="1:22" ht="15.75" customHeight="1" x14ac:dyDescent="0.35">
      <c r="A10" s="12">
        <v>1</v>
      </c>
      <c r="B10" s="12">
        <v>1.8E-3</v>
      </c>
      <c r="C10" s="13">
        <v>5.9999999999999995E-4</v>
      </c>
      <c r="D10" s="13">
        <f t="shared" ref="D10:D19" si="0">B10-C10</f>
        <v>1.2000000000000001E-3</v>
      </c>
      <c r="E10" s="45">
        <f>F7*0.0001</f>
        <v>7.87775E-2</v>
      </c>
      <c r="F10" s="42">
        <f>4/3*3.14*E10^3</f>
        <v>2.0467979240314446E-3</v>
      </c>
      <c r="G10" s="49">
        <f t="shared" ref="G10:G19" si="1">(D10/($H$38*$F$41))*100</f>
        <v>54.884144477220211</v>
      </c>
      <c r="I10" s="12">
        <v>16</v>
      </c>
      <c r="J10" s="13">
        <v>2.2000000000000001E-3</v>
      </c>
      <c r="K10" s="13">
        <v>1E-3</v>
      </c>
      <c r="L10" s="13">
        <f t="shared" ref="L10:L19" si="2">J10-K10</f>
        <v>1.2000000000000001E-3</v>
      </c>
      <c r="M10" s="45">
        <f>F7*0.0001</f>
        <v>7.87775E-2</v>
      </c>
      <c r="N10" s="42">
        <f>4/3*3.14*M10^3</f>
        <v>2.0467979240314446E-3</v>
      </c>
      <c r="O10" s="49">
        <f t="shared" ref="O10:O19" si="3">(L10/($H$38*$N$41))*100</f>
        <v>54.884144477220211</v>
      </c>
      <c r="Q10" s="14"/>
      <c r="R10" s="15"/>
      <c r="S10" s="16" t="s">
        <v>15</v>
      </c>
      <c r="T10" s="16" t="s">
        <v>16</v>
      </c>
      <c r="U10" s="16" t="s">
        <v>17</v>
      </c>
      <c r="V10" s="16" t="s">
        <v>18</v>
      </c>
    </row>
    <row r="11" spans="1:22" ht="15.75" customHeight="1" x14ac:dyDescent="0.35">
      <c r="A11" s="12">
        <v>2</v>
      </c>
      <c r="B11" s="13">
        <v>2.2000000000000001E-3</v>
      </c>
      <c r="C11" s="13">
        <v>1.2999999999999999E-3</v>
      </c>
      <c r="D11" s="13">
        <f t="shared" si="0"/>
        <v>9.0000000000000019E-4</v>
      </c>
      <c r="E11" s="46"/>
      <c r="F11" s="43"/>
      <c r="G11" s="49">
        <f t="shared" si="1"/>
        <v>41.163108357915164</v>
      </c>
      <c r="I11" s="12">
        <v>17</v>
      </c>
      <c r="J11" s="13">
        <v>1.8E-3</v>
      </c>
      <c r="K11" s="13">
        <v>1.1000000000000001E-3</v>
      </c>
      <c r="L11" s="13">
        <f t="shared" si="2"/>
        <v>6.9999999999999988E-4</v>
      </c>
      <c r="M11" s="46"/>
      <c r="N11" s="43"/>
      <c r="O11" s="49">
        <f t="shared" si="3"/>
        <v>32.015750945045113</v>
      </c>
      <c r="Q11" s="17" t="s">
        <v>19</v>
      </c>
      <c r="R11" s="8"/>
      <c r="S11" s="4">
        <v>6.1333332999999996E-4</v>
      </c>
      <c r="T11" s="18">
        <v>5.9999999999999995E-4</v>
      </c>
      <c r="U11" s="18" t="s">
        <v>20</v>
      </c>
      <c r="V11" s="18" t="s">
        <v>20</v>
      </c>
    </row>
    <row r="12" spans="1:22" ht="15.75" customHeight="1" x14ac:dyDescent="0.35">
      <c r="A12" s="12">
        <v>3</v>
      </c>
      <c r="B12" s="13">
        <v>1.2999999999999999E-3</v>
      </c>
      <c r="C12" s="13">
        <v>8.9999999999999998E-4</v>
      </c>
      <c r="D12" s="13">
        <f t="shared" si="0"/>
        <v>3.9999999999999996E-4</v>
      </c>
      <c r="E12" s="46"/>
      <c r="F12" s="43"/>
      <c r="G12" s="49">
        <f t="shared" si="1"/>
        <v>18.294714825740066</v>
      </c>
      <c r="I12" s="12">
        <v>18</v>
      </c>
      <c r="J12" s="13">
        <v>2.0999999999999999E-3</v>
      </c>
      <c r="K12" s="13">
        <v>1.1000000000000001E-3</v>
      </c>
      <c r="L12" s="13">
        <f t="shared" si="2"/>
        <v>9.999999999999998E-4</v>
      </c>
      <c r="M12" s="46"/>
      <c r="N12" s="43"/>
      <c r="O12" s="49">
        <f t="shared" si="3"/>
        <v>45.73678706435016</v>
      </c>
      <c r="Q12" s="17" t="s">
        <v>21</v>
      </c>
      <c r="R12" s="8"/>
      <c r="S12" s="18">
        <v>1.5403215299999999E-3</v>
      </c>
      <c r="T12" s="18">
        <v>2.1930028130000001E-3</v>
      </c>
      <c r="U12" s="18" t="s">
        <v>20</v>
      </c>
      <c r="V12" s="18" t="s">
        <v>20</v>
      </c>
    </row>
    <row r="13" spans="1:22" ht="15.75" customHeight="1" x14ac:dyDescent="0.35">
      <c r="A13" s="12">
        <v>4</v>
      </c>
      <c r="B13" s="13">
        <v>1.4E-3</v>
      </c>
      <c r="C13" s="13">
        <v>6.9999999999999999E-4</v>
      </c>
      <c r="D13" s="13">
        <f t="shared" si="0"/>
        <v>6.9999999999999999E-4</v>
      </c>
      <c r="E13" s="46"/>
      <c r="F13" s="43"/>
      <c r="G13" s="49">
        <f t="shared" si="1"/>
        <v>32.01575094504512</v>
      </c>
      <c r="I13" s="12">
        <v>19</v>
      </c>
      <c r="J13" s="13">
        <v>2.2000000000000001E-3</v>
      </c>
      <c r="K13" s="13">
        <v>8.9999999999999998E-4</v>
      </c>
      <c r="L13" s="13">
        <f t="shared" si="2"/>
        <v>1.3000000000000002E-3</v>
      </c>
      <c r="M13" s="46"/>
      <c r="N13" s="43"/>
      <c r="O13" s="49">
        <f t="shared" si="3"/>
        <v>59.457823183655222</v>
      </c>
      <c r="Q13" s="19" t="s">
        <v>13</v>
      </c>
      <c r="R13" s="20" t="s">
        <v>22</v>
      </c>
      <c r="S13" s="18">
        <v>39.938341309999998</v>
      </c>
      <c r="T13" s="18">
        <v>28.661719890000001</v>
      </c>
      <c r="U13" s="18" t="s">
        <v>20</v>
      </c>
      <c r="V13" s="18" t="s">
        <v>20</v>
      </c>
    </row>
    <row r="14" spans="1:22" ht="15.75" customHeight="1" x14ac:dyDescent="0.35">
      <c r="A14" s="12">
        <v>5</v>
      </c>
      <c r="B14" s="13">
        <v>1.6000000000000001E-3</v>
      </c>
      <c r="C14" s="13">
        <v>1E-3</v>
      </c>
      <c r="D14" s="13">
        <f t="shared" si="0"/>
        <v>6.0000000000000006E-4</v>
      </c>
      <c r="E14" s="46"/>
      <c r="F14" s="43"/>
      <c r="G14" s="49">
        <f t="shared" si="1"/>
        <v>27.442072238610105</v>
      </c>
      <c r="I14" s="12">
        <v>20</v>
      </c>
      <c r="J14" s="13">
        <v>2.0999999999999999E-3</v>
      </c>
      <c r="K14" s="13">
        <v>1.1000000000000001E-3</v>
      </c>
      <c r="L14" s="13">
        <f t="shared" si="2"/>
        <v>9.999999999999998E-4</v>
      </c>
      <c r="M14" s="46"/>
      <c r="N14" s="43"/>
      <c r="O14" s="49">
        <f t="shared" si="3"/>
        <v>45.73678706435016</v>
      </c>
      <c r="Q14" s="21"/>
      <c r="R14" s="20" t="s">
        <v>23</v>
      </c>
      <c r="S14" s="18">
        <v>16.818897790000001</v>
      </c>
      <c r="T14" s="18">
        <v>10.805512390000001</v>
      </c>
      <c r="U14" s="18" t="s">
        <v>20</v>
      </c>
      <c r="V14" s="18" t="s">
        <v>20</v>
      </c>
    </row>
    <row r="15" spans="1:22" ht="15.75" customHeight="1" x14ac:dyDescent="0.35">
      <c r="A15" s="12">
        <v>6</v>
      </c>
      <c r="B15" s="13">
        <v>2.3E-3</v>
      </c>
      <c r="C15" s="13">
        <v>8.9999999999999998E-4</v>
      </c>
      <c r="D15" s="13">
        <f t="shared" si="0"/>
        <v>1.4E-3</v>
      </c>
      <c r="E15" s="46"/>
      <c r="F15" s="43"/>
      <c r="G15" s="49">
        <f t="shared" si="1"/>
        <v>64.03150189009024</v>
      </c>
      <c r="I15" s="12">
        <v>21</v>
      </c>
      <c r="J15" s="13">
        <v>1.6999999999999999E-3</v>
      </c>
      <c r="K15" s="13">
        <v>8.9999999999999998E-4</v>
      </c>
      <c r="L15" s="13">
        <f t="shared" si="2"/>
        <v>7.9999999999999993E-4</v>
      </c>
      <c r="M15" s="46"/>
      <c r="N15" s="43"/>
      <c r="O15" s="49">
        <f t="shared" si="3"/>
        <v>36.589429651480131</v>
      </c>
    </row>
    <row r="16" spans="1:22" ht="15.75" customHeight="1" x14ac:dyDescent="0.35">
      <c r="A16" s="12">
        <v>7</v>
      </c>
      <c r="B16" s="13">
        <v>1.4E-3</v>
      </c>
      <c r="C16" s="13">
        <v>1E-3</v>
      </c>
      <c r="D16" s="13">
        <f t="shared" si="0"/>
        <v>3.9999999999999996E-4</v>
      </c>
      <c r="E16" s="46"/>
      <c r="F16" s="43"/>
      <c r="G16" s="49">
        <f t="shared" si="1"/>
        <v>18.294714825740066</v>
      </c>
      <c r="I16" s="12">
        <v>22</v>
      </c>
      <c r="J16" s="13">
        <v>2.0999999999999999E-3</v>
      </c>
      <c r="K16" s="13">
        <v>1.2999999999999999E-3</v>
      </c>
      <c r="L16" s="13">
        <f t="shared" si="2"/>
        <v>7.9999999999999993E-4</v>
      </c>
      <c r="M16" s="46"/>
      <c r="N16" s="43"/>
      <c r="O16" s="49">
        <f t="shared" si="3"/>
        <v>36.589429651480131</v>
      </c>
      <c r="Q16" s="22" t="s">
        <v>24</v>
      </c>
      <c r="R16" s="7"/>
      <c r="S16" s="7"/>
      <c r="T16" s="7"/>
      <c r="U16" s="7"/>
      <c r="V16" s="8"/>
    </row>
    <row r="17" spans="1:22" ht="15.75" customHeight="1" x14ac:dyDescent="0.35">
      <c r="A17" s="12">
        <v>8</v>
      </c>
      <c r="B17" s="13">
        <v>2E-3</v>
      </c>
      <c r="C17" s="13">
        <v>1.1999999999999999E-3</v>
      </c>
      <c r="D17" s="13">
        <f t="shared" si="0"/>
        <v>8.0000000000000015E-4</v>
      </c>
      <c r="E17" s="46"/>
      <c r="F17" s="43"/>
      <c r="G17" s="49">
        <f t="shared" si="1"/>
        <v>36.589429651480145</v>
      </c>
      <c r="I17" s="12">
        <v>23</v>
      </c>
      <c r="J17" s="13">
        <v>1.6999999999999999E-3</v>
      </c>
      <c r="K17" s="13">
        <v>6.9999999999999999E-4</v>
      </c>
      <c r="L17" s="13">
        <f t="shared" si="2"/>
        <v>1E-3</v>
      </c>
      <c r="M17" s="46"/>
      <c r="N17" s="43"/>
      <c r="O17" s="49">
        <f t="shared" si="3"/>
        <v>45.736787064350167</v>
      </c>
      <c r="Q17" s="14"/>
      <c r="R17" s="15"/>
      <c r="S17" s="23" t="s">
        <v>15</v>
      </c>
      <c r="T17" s="23" t="s">
        <v>16</v>
      </c>
      <c r="U17" s="23" t="s">
        <v>17</v>
      </c>
      <c r="V17" s="23" t="s">
        <v>18</v>
      </c>
    </row>
    <row r="18" spans="1:22" ht="15.75" customHeight="1" x14ac:dyDescent="0.35">
      <c r="A18" s="12">
        <v>9</v>
      </c>
      <c r="B18" s="13">
        <v>1.8E-3</v>
      </c>
      <c r="C18" s="13">
        <v>1.1000000000000001E-3</v>
      </c>
      <c r="D18" s="13">
        <f t="shared" si="0"/>
        <v>6.9999999999999988E-4</v>
      </c>
      <c r="E18" s="46"/>
      <c r="F18" s="43"/>
      <c r="G18" s="49">
        <f t="shared" si="1"/>
        <v>32.015750945045113</v>
      </c>
      <c r="I18" s="12">
        <v>24</v>
      </c>
      <c r="J18" s="13">
        <v>1.8E-3</v>
      </c>
      <c r="K18" s="13">
        <v>1.1000000000000001E-3</v>
      </c>
      <c r="L18" s="13">
        <f t="shared" si="2"/>
        <v>6.9999999999999988E-4</v>
      </c>
      <c r="M18" s="46"/>
      <c r="N18" s="43"/>
      <c r="O18" s="49">
        <f t="shared" si="3"/>
        <v>32.015750945045113</v>
      </c>
      <c r="Q18" s="24" t="s">
        <v>19</v>
      </c>
      <c r="R18" s="8"/>
      <c r="S18" s="4">
        <v>5.9333333330000005E-4</v>
      </c>
      <c r="T18" s="18">
        <v>5.0000000000000001E-4</v>
      </c>
      <c r="U18" s="18" t="s">
        <v>20</v>
      </c>
      <c r="V18" s="18" t="s">
        <v>20</v>
      </c>
    </row>
    <row r="19" spans="1:22" ht="15.75" customHeight="1" x14ac:dyDescent="0.35">
      <c r="A19" s="12">
        <v>10</v>
      </c>
      <c r="B19" s="13">
        <v>1.6999999999999999E-3</v>
      </c>
      <c r="C19" s="13">
        <v>1E-3</v>
      </c>
      <c r="D19" s="13">
        <f t="shared" si="0"/>
        <v>6.9999999999999988E-4</v>
      </c>
      <c r="E19" s="47"/>
      <c r="F19" s="44"/>
      <c r="G19" s="49">
        <f t="shared" si="1"/>
        <v>32.015750945045113</v>
      </c>
      <c r="I19" s="12">
        <v>25</v>
      </c>
      <c r="J19" s="13">
        <v>1.5E-3</v>
      </c>
      <c r="K19" s="13">
        <v>8.9999999999999998E-4</v>
      </c>
      <c r="L19" s="13">
        <f t="shared" si="2"/>
        <v>6.0000000000000006E-4</v>
      </c>
      <c r="M19" s="47"/>
      <c r="N19" s="44"/>
      <c r="O19" s="49">
        <f t="shared" si="3"/>
        <v>27.442072238610105</v>
      </c>
      <c r="Q19" s="24" t="s">
        <v>21</v>
      </c>
      <c r="R19" s="8"/>
      <c r="S19" s="25">
        <v>1.2882221230000001E-3</v>
      </c>
      <c r="T19" s="4">
        <v>1.7623558114506616E-3</v>
      </c>
      <c r="U19" s="18" t="s">
        <v>20</v>
      </c>
      <c r="V19" s="18" t="s">
        <v>20</v>
      </c>
    </row>
    <row r="20" spans="1:22" ht="15.75" customHeight="1" x14ac:dyDescent="0.35">
      <c r="A20" s="26" t="s">
        <v>22</v>
      </c>
      <c r="B20" s="3"/>
      <c r="C20" s="3"/>
      <c r="D20" s="3"/>
      <c r="E20" s="3"/>
      <c r="F20" s="3"/>
      <c r="G20" s="51">
        <f>AVERAGE(G10:G19,O10:O19)</f>
        <v>38.647585069375893</v>
      </c>
      <c r="H20" s="50">
        <f>AVERAGE(D10:D19,L10:L19)</f>
        <v>8.4499999999999994E-4</v>
      </c>
      <c r="I20" s="26" t="s">
        <v>23</v>
      </c>
      <c r="J20" s="3"/>
      <c r="K20" s="3"/>
      <c r="L20" s="3"/>
      <c r="M20" s="3"/>
      <c r="N20" s="3"/>
      <c r="O20" s="51">
        <f>STDEV(G10:G19,O10:Z19)</f>
        <v>19.800660564939548</v>
      </c>
    </row>
    <row r="21" spans="1:22" ht="15.75" customHeight="1" x14ac:dyDescent="0.35">
      <c r="D21" s="1"/>
      <c r="E21" s="1"/>
      <c r="F21" s="1"/>
      <c r="G21" s="1"/>
    </row>
    <row r="22" spans="1:22" ht="15.75" customHeight="1" x14ac:dyDescent="0.35">
      <c r="A22" s="2" t="s">
        <v>0</v>
      </c>
      <c r="B22" s="3"/>
      <c r="C22" s="1">
        <v>1370.25</v>
      </c>
      <c r="D22" s="2" t="s">
        <v>1</v>
      </c>
      <c r="E22" s="3"/>
      <c r="F22" s="1">
        <f>C22/2</f>
        <v>685.125</v>
      </c>
      <c r="G22" s="4" t="s">
        <v>2</v>
      </c>
      <c r="H22" s="28">
        <v>0.997</v>
      </c>
      <c r="I22" s="4" t="s">
        <v>3</v>
      </c>
    </row>
    <row r="23" spans="1:22" ht="15.75" customHeight="1" x14ac:dyDescent="0.35">
      <c r="A23" s="29" t="s">
        <v>25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22" ht="15.75" customHeight="1" x14ac:dyDescent="0.35">
      <c r="A24" s="9" t="s">
        <v>7</v>
      </c>
      <c r="B24" s="9" t="s">
        <v>8</v>
      </c>
      <c r="C24" s="9" t="s">
        <v>9</v>
      </c>
      <c r="D24" s="10" t="s">
        <v>10</v>
      </c>
      <c r="E24" s="9" t="s">
        <v>11</v>
      </c>
      <c r="F24" s="9" t="s">
        <v>12</v>
      </c>
      <c r="G24" s="9" t="s">
        <v>13</v>
      </c>
      <c r="I24" s="9" t="s">
        <v>7</v>
      </c>
      <c r="J24" s="9" t="s">
        <v>8</v>
      </c>
      <c r="K24" s="9" t="s">
        <v>9</v>
      </c>
      <c r="L24" s="10" t="s">
        <v>10</v>
      </c>
      <c r="M24" s="9" t="s">
        <v>11</v>
      </c>
      <c r="N24" s="9" t="s">
        <v>12</v>
      </c>
      <c r="O24" s="9" t="s">
        <v>13</v>
      </c>
    </row>
    <row r="25" spans="1:22" ht="15.75" customHeight="1" x14ac:dyDescent="0.35">
      <c r="A25" s="12">
        <v>1</v>
      </c>
      <c r="B25" s="12">
        <v>2.3E-3</v>
      </c>
      <c r="C25" s="13">
        <v>1.1999999999999999E-3</v>
      </c>
      <c r="D25" s="13">
        <f t="shared" ref="D25:D34" si="4">B25-C25</f>
        <v>1.1000000000000001E-3</v>
      </c>
      <c r="E25" s="45">
        <f>F22*0.0001</f>
        <v>6.8512500000000004E-2</v>
      </c>
      <c r="F25" s="42">
        <f>4/3*3.14*E25^3</f>
        <v>1.3464115543560941E-3</v>
      </c>
      <c r="G25" s="49">
        <f t="shared" ref="G25:G34" si="5">(D25/($H$38*$F$41))*100</f>
        <v>50.310465770785186</v>
      </c>
      <c r="I25" s="12">
        <v>16</v>
      </c>
      <c r="J25" s="13">
        <v>1.9E-3</v>
      </c>
      <c r="K25" s="13">
        <v>8.0000000000000004E-4</v>
      </c>
      <c r="L25" s="13">
        <f t="shared" ref="L25:L34" si="6">J25-K25</f>
        <v>1.0999999999999998E-3</v>
      </c>
      <c r="M25" s="45">
        <f>F22*0.0001</f>
        <v>6.8512500000000004E-2</v>
      </c>
      <c r="N25" s="42">
        <f>4/3*3.14*M25^3</f>
        <v>1.3464115543560941E-3</v>
      </c>
      <c r="O25" s="49">
        <f t="shared" ref="O25:O34" si="7">(L25/($H$38*$N$41))*100</f>
        <v>50.310465770785171</v>
      </c>
    </row>
    <row r="26" spans="1:22" ht="15.75" customHeight="1" x14ac:dyDescent="0.35">
      <c r="A26" s="12">
        <v>2</v>
      </c>
      <c r="B26" s="13">
        <v>2E-3</v>
      </c>
      <c r="C26" s="13">
        <v>1.6000000000000001E-3</v>
      </c>
      <c r="D26" s="13">
        <f t="shared" si="4"/>
        <v>3.9999999999999996E-4</v>
      </c>
      <c r="E26" s="46"/>
      <c r="F26" s="43"/>
      <c r="G26" s="49">
        <f t="shared" si="5"/>
        <v>18.294714825740066</v>
      </c>
      <c r="I26" s="12">
        <v>17</v>
      </c>
      <c r="J26" s="13">
        <v>2.2000000000000001E-3</v>
      </c>
      <c r="K26" s="13">
        <v>1.1999999999999999E-3</v>
      </c>
      <c r="L26" s="13">
        <f t="shared" si="6"/>
        <v>1.0000000000000002E-3</v>
      </c>
      <c r="M26" s="46"/>
      <c r="N26" s="43"/>
      <c r="O26" s="49">
        <f t="shared" si="7"/>
        <v>45.736787064350182</v>
      </c>
    </row>
    <row r="27" spans="1:22" ht="15.75" customHeight="1" x14ac:dyDescent="0.35">
      <c r="A27" s="12">
        <v>3</v>
      </c>
      <c r="B27" s="13">
        <v>2E-3</v>
      </c>
      <c r="C27" s="13">
        <v>1.6000000000000001E-3</v>
      </c>
      <c r="D27" s="13">
        <f t="shared" si="4"/>
        <v>3.9999999999999996E-4</v>
      </c>
      <c r="E27" s="46"/>
      <c r="F27" s="43"/>
      <c r="G27" s="49">
        <f t="shared" si="5"/>
        <v>18.294714825740066</v>
      </c>
      <c r="I27" s="12">
        <v>18</v>
      </c>
      <c r="J27" s="13">
        <v>2.0999999999999999E-3</v>
      </c>
      <c r="K27" s="13">
        <v>1.1000000000000001E-3</v>
      </c>
      <c r="L27" s="13">
        <f t="shared" si="6"/>
        <v>9.999999999999998E-4</v>
      </c>
      <c r="M27" s="46"/>
      <c r="N27" s="43"/>
      <c r="O27" s="49">
        <f t="shared" si="7"/>
        <v>45.73678706435016</v>
      </c>
    </row>
    <row r="28" spans="1:22" ht="15.75" customHeight="1" x14ac:dyDescent="0.35">
      <c r="A28" s="12">
        <v>4</v>
      </c>
      <c r="B28" s="13">
        <v>1.5E-3</v>
      </c>
      <c r="C28" s="13">
        <v>6.9999999999999999E-4</v>
      </c>
      <c r="D28" s="13">
        <f t="shared" si="4"/>
        <v>8.0000000000000004E-4</v>
      </c>
      <c r="E28" s="46"/>
      <c r="F28" s="43"/>
      <c r="G28" s="49">
        <f t="shared" si="5"/>
        <v>36.589429651480138</v>
      </c>
      <c r="I28" s="12">
        <v>19</v>
      </c>
      <c r="J28" s="13">
        <v>1.9E-3</v>
      </c>
      <c r="K28" s="13">
        <v>8.0000000000000004E-4</v>
      </c>
      <c r="L28" s="13">
        <f t="shared" si="6"/>
        <v>1.0999999999999998E-3</v>
      </c>
      <c r="M28" s="46"/>
      <c r="N28" s="43"/>
      <c r="O28" s="49">
        <f t="shared" si="7"/>
        <v>50.310465770785171</v>
      </c>
    </row>
    <row r="29" spans="1:22" ht="15.75" customHeight="1" x14ac:dyDescent="0.35">
      <c r="A29" s="12">
        <v>5</v>
      </c>
      <c r="B29" s="13">
        <v>2.3E-3</v>
      </c>
      <c r="C29" s="13">
        <v>1.1999999999999999E-3</v>
      </c>
      <c r="D29" s="13">
        <f t="shared" si="4"/>
        <v>1.1000000000000001E-3</v>
      </c>
      <c r="E29" s="46"/>
      <c r="F29" s="43"/>
      <c r="G29" s="49">
        <f t="shared" si="5"/>
        <v>50.310465770785186</v>
      </c>
      <c r="I29" s="12">
        <v>20</v>
      </c>
      <c r="J29" s="13">
        <v>1.6999999999999999E-3</v>
      </c>
      <c r="K29" s="13">
        <v>8.0000000000000004E-4</v>
      </c>
      <c r="L29" s="13">
        <f t="shared" si="6"/>
        <v>8.9999999999999987E-4</v>
      </c>
      <c r="M29" s="46"/>
      <c r="N29" s="43"/>
      <c r="O29" s="49">
        <f t="shared" si="7"/>
        <v>41.163108357915149</v>
      </c>
    </row>
    <row r="30" spans="1:22" ht="15.75" customHeight="1" x14ac:dyDescent="0.35">
      <c r="A30" s="12">
        <v>6</v>
      </c>
      <c r="B30" s="13">
        <v>2.2000000000000001E-3</v>
      </c>
      <c r="C30" s="13">
        <v>1.1000000000000001E-3</v>
      </c>
      <c r="D30" s="13">
        <f t="shared" si="4"/>
        <v>1.1000000000000001E-3</v>
      </c>
      <c r="E30" s="46"/>
      <c r="F30" s="43"/>
      <c r="G30" s="49">
        <f t="shared" si="5"/>
        <v>50.310465770785186</v>
      </c>
      <c r="I30" s="12">
        <v>21</v>
      </c>
      <c r="J30" s="13">
        <v>2.0999999999999999E-3</v>
      </c>
      <c r="K30" s="13">
        <v>1E-3</v>
      </c>
      <c r="L30" s="13">
        <f t="shared" si="6"/>
        <v>1.0999999999999998E-3</v>
      </c>
      <c r="M30" s="46"/>
      <c r="N30" s="43"/>
      <c r="O30" s="49">
        <f t="shared" si="7"/>
        <v>50.310465770785171</v>
      </c>
    </row>
    <row r="31" spans="1:22" ht="15.75" customHeight="1" x14ac:dyDescent="0.35">
      <c r="A31" s="12">
        <v>7</v>
      </c>
      <c r="B31" s="13">
        <v>1.6999999999999999E-3</v>
      </c>
      <c r="C31" s="13">
        <v>8.9999999999999998E-4</v>
      </c>
      <c r="D31" s="13">
        <f t="shared" si="4"/>
        <v>7.9999999999999993E-4</v>
      </c>
      <c r="E31" s="46"/>
      <c r="F31" s="43"/>
      <c r="G31" s="49">
        <f t="shared" si="5"/>
        <v>36.589429651480131</v>
      </c>
      <c r="I31" s="12">
        <v>22</v>
      </c>
      <c r="J31" s="13">
        <v>2.3999999999999998E-3</v>
      </c>
      <c r="K31" s="13">
        <v>1.1000000000000001E-3</v>
      </c>
      <c r="L31" s="13">
        <f t="shared" si="6"/>
        <v>1.2999999999999997E-3</v>
      </c>
      <c r="M31" s="46"/>
      <c r="N31" s="43"/>
      <c r="O31" s="49">
        <f t="shared" si="7"/>
        <v>59.457823183655215</v>
      </c>
    </row>
    <row r="32" spans="1:22" ht="15.75" customHeight="1" x14ac:dyDescent="0.35">
      <c r="A32" s="12">
        <v>8</v>
      </c>
      <c r="B32" s="13">
        <v>2.0999999999999999E-3</v>
      </c>
      <c r="C32" s="13">
        <v>1.1000000000000001E-3</v>
      </c>
      <c r="D32" s="13">
        <f t="shared" si="4"/>
        <v>9.999999999999998E-4</v>
      </c>
      <c r="E32" s="46"/>
      <c r="F32" s="43"/>
      <c r="G32" s="49">
        <f t="shared" si="5"/>
        <v>45.73678706435016</v>
      </c>
      <c r="I32" s="12">
        <v>23</v>
      </c>
      <c r="J32" s="13">
        <v>1.8E-3</v>
      </c>
      <c r="K32" s="13">
        <v>1E-3</v>
      </c>
      <c r="L32" s="13">
        <f t="shared" si="6"/>
        <v>7.9999999999999993E-4</v>
      </c>
      <c r="M32" s="46"/>
      <c r="N32" s="43"/>
      <c r="O32" s="49">
        <f t="shared" si="7"/>
        <v>36.589429651480131</v>
      </c>
    </row>
    <row r="33" spans="1:21" ht="15.75" customHeight="1" x14ac:dyDescent="0.35">
      <c r="A33" s="12">
        <v>9</v>
      </c>
      <c r="B33" s="13">
        <v>2.3E-3</v>
      </c>
      <c r="C33" s="13">
        <v>1.1999999999999999E-3</v>
      </c>
      <c r="D33" s="13">
        <f t="shared" si="4"/>
        <v>1.1000000000000001E-3</v>
      </c>
      <c r="E33" s="46"/>
      <c r="F33" s="43"/>
      <c r="G33" s="49">
        <f t="shared" si="5"/>
        <v>50.310465770785186</v>
      </c>
      <c r="I33" s="12">
        <v>24</v>
      </c>
      <c r="J33" s="13">
        <v>1.5E-3</v>
      </c>
      <c r="K33" s="13">
        <v>6.9999999999999999E-4</v>
      </c>
      <c r="L33" s="13">
        <f t="shared" si="6"/>
        <v>8.0000000000000004E-4</v>
      </c>
      <c r="M33" s="46"/>
      <c r="N33" s="43"/>
      <c r="O33" s="49">
        <f t="shared" si="7"/>
        <v>36.589429651480138</v>
      </c>
    </row>
    <row r="34" spans="1:21" ht="15.75" customHeight="1" x14ac:dyDescent="0.35">
      <c r="A34" s="12">
        <v>10</v>
      </c>
      <c r="B34" s="13">
        <v>2.2000000000000001E-3</v>
      </c>
      <c r="C34" s="13">
        <v>1.1000000000000001E-3</v>
      </c>
      <c r="D34" s="13">
        <f t="shared" si="4"/>
        <v>1.1000000000000001E-3</v>
      </c>
      <c r="E34" s="47"/>
      <c r="F34" s="44"/>
      <c r="G34" s="49">
        <f t="shared" si="5"/>
        <v>50.310465770785186</v>
      </c>
      <c r="I34" s="12">
        <v>25</v>
      </c>
      <c r="J34" s="13">
        <v>1.9E-3</v>
      </c>
      <c r="K34" s="13">
        <v>6.9999999999999999E-4</v>
      </c>
      <c r="L34" s="13">
        <f t="shared" si="6"/>
        <v>1.2000000000000001E-3</v>
      </c>
      <c r="M34" s="47"/>
      <c r="N34" s="44"/>
      <c r="O34" s="49">
        <f t="shared" si="7"/>
        <v>54.884144477220211</v>
      </c>
    </row>
    <row r="35" spans="1:21" ht="15.75" customHeight="1" x14ac:dyDescent="0.35">
      <c r="A35" s="26" t="s">
        <v>22</v>
      </c>
      <c r="B35" s="3"/>
      <c r="C35" s="3"/>
      <c r="D35" s="3"/>
      <c r="E35" s="3"/>
      <c r="F35" s="3"/>
      <c r="G35" s="51">
        <f>AVERAGE(G25:G34,O25:O34)</f>
        <v>43.90731558177616</v>
      </c>
      <c r="H35" s="27">
        <f>AVERAGE(D25:D34,L25:L34)</f>
        <v>9.5999999999999992E-4</v>
      </c>
      <c r="I35" s="26" t="s">
        <v>23</v>
      </c>
      <c r="J35" s="3"/>
      <c r="K35" s="3"/>
      <c r="L35" s="3"/>
      <c r="M35" s="3"/>
      <c r="N35" s="3"/>
      <c r="O35" s="51">
        <f>STDEV(G25:G34,O25:Z34)</f>
        <v>10.843624714321015</v>
      </c>
    </row>
    <row r="36" spans="1:21" ht="15.75" customHeight="1" x14ac:dyDescent="0.35">
      <c r="A36" s="1"/>
      <c r="B36" s="1"/>
      <c r="C36" s="1"/>
      <c r="D36" s="1"/>
      <c r="E36" s="1"/>
      <c r="F36" s="1"/>
      <c r="G36" s="1"/>
    </row>
    <row r="37" spans="1:21" ht="15.75" customHeight="1" x14ac:dyDescent="0.35">
      <c r="A37" s="1"/>
      <c r="B37" s="1"/>
      <c r="C37" s="1"/>
      <c r="D37" s="1"/>
      <c r="E37" s="1"/>
      <c r="F37" s="1"/>
      <c r="G37" s="1"/>
    </row>
    <row r="38" spans="1:21" ht="15.75" customHeight="1" x14ac:dyDescent="0.35">
      <c r="A38" s="2" t="s">
        <v>0</v>
      </c>
      <c r="B38" s="3"/>
      <c r="C38" s="1">
        <v>1612.2049999999999</v>
      </c>
      <c r="D38" s="2" t="s">
        <v>1</v>
      </c>
      <c r="E38" s="3"/>
      <c r="F38" s="1">
        <f>C38/2</f>
        <v>806.10249999999996</v>
      </c>
      <c r="G38" s="4" t="s">
        <v>2</v>
      </c>
      <c r="H38" s="4">
        <v>0.997</v>
      </c>
      <c r="O38" s="30"/>
      <c r="P38" s="30"/>
      <c r="Q38" s="30"/>
      <c r="R38" s="30"/>
      <c r="S38" s="30"/>
      <c r="T38" s="30"/>
      <c r="U38" s="30"/>
    </row>
    <row r="39" spans="1:21" ht="15.75" customHeight="1" x14ac:dyDescent="0.35">
      <c r="A39" s="5" t="s">
        <v>26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21" ht="15.75" customHeight="1" x14ac:dyDescent="0.35">
      <c r="A40" s="9" t="s">
        <v>7</v>
      </c>
      <c r="B40" s="31" t="s">
        <v>8</v>
      </c>
      <c r="C40" s="31" t="s">
        <v>9</v>
      </c>
      <c r="D40" s="10" t="s">
        <v>10</v>
      </c>
      <c r="E40" s="9" t="s">
        <v>11</v>
      </c>
      <c r="F40" s="9" t="s">
        <v>12</v>
      </c>
      <c r="G40" s="9" t="s">
        <v>13</v>
      </c>
      <c r="I40" s="9" t="s">
        <v>7</v>
      </c>
      <c r="J40" s="31" t="s">
        <v>8</v>
      </c>
      <c r="K40" s="31" t="s">
        <v>9</v>
      </c>
      <c r="L40" s="10" t="s">
        <v>10</v>
      </c>
      <c r="M40" s="9" t="s">
        <v>11</v>
      </c>
      <c r="N40" s="9" t="s">
        <v>12</v>
      </c>
      <c r="O40" s="9" t="s">
        <v>13</v>
      </c>
    </row>
    <row r="41" spans="1:21" ht="15.75" customHeight="1" x14ac:dyDescent="0.35">
      <c r="A41" s="32">
        <v>1</v>
      </c>
      <c r="B41" s="33">
        <v>2E-3</v>
      </c>
      <c r="C41" s="33">
        <v>1.2999999999999999E-3</v>
      </c>
      <c r="D41" s="34">
        <f t="shared" ref="D41:D55" si="8">B41-C41</f>
        <v>7.000000000000001E-4</v>
      </c>
      <c r="E41" s="45">
        <f>F38*0.0001</f>
        <v>8.0610249999999994E-2</v>
      </c>
      <c r="F41" s="42">
        <f>4/3*3.14*E41^3</f>
        <v>2.1930028134027925E-3</v>
      </c>
      <c r="G41" s="49">
        <f t="shared" ref="G41:G55" si="9">(D41/($H$38*$F$41))*100</f>
        <v>32.015750945045127</v>
      </c>
      <c r="I41" s="32">
        <v>16</v>
      </c>
      <c r="J41" s="33">
        <v>1.8E-3</v>
      </c>
      <c r="K41" s="33">
        <v>1.2999999999999999E-3</v>
      </c>
      <c r="L41" s="34">
        <f t="shared" ref="L41:L55" si="10">J41-K41</f>
        <v>5.0000000000000001E-4</v>
      </c>
      <c r="M41" s="45">
        <f>F38*0.0001</f>
        <v>8.0610249999999994E-2</v>
      </c>
      <c r="N41" s="42">
        <f>4/3*3.14*M41^3</f>
        <v>2.1930028134027925E-3</v>
      </c>
      <c r="O41" s="49">
        <f t="shared" ref="O41:O55" si="11">(L41/($H$38*$N$41))*100</f>
        <v>22.868393532175084</v>
      </c>
    </row>
    <row r="42" spans="1:21" ht="15.75" customHeight="1" x14ac:dyDescent="0.35">
      <c r="A42" s="32">
        <v>2</v>
      </c>
      <c r="B42" s="33">
        <v>1.6000000000000001E-3</v>
      </c>
      <c r="C42" s="33">
        <v>8.0000000000000004E-4</v>
      </c>
      <c r="D42" s="34">
        <f t="shared" si="8"/>
        <v>8.0000000000000004E-4</v>
      </c>
      <c r="E42" s="46"/>
      <c r="F42" s="43"/>
      <c r="G42" s="49">
        <f t="shared" si="9"/>
        <v>36.589429651480138</v>
      </c>
      <c r="I42" s="32">
        <v>17</v>
      </c>
      <c r="J42" s="33">
        <v>1.6000000000000001E-3</v>
      </c>
      <c r="K42" s="33">
        <v>1E-3</v>
      </c>
      <c r="L42" s="34">
        <f t="shared" si="10"/>
        <v>6.0000000000000006E-4</v>
      </c>
      <c r="M42" s="46"/>
      <c r="N42" s="43"/>
      <c r="O42" s="49">
        <f t="shared" si="11"/>
        <v>27.442072238610105</v>
      </c>
    </row>
    <row r="43" spans="1:21" ht="15.75" customHeight="1" x14ac:dyDescent="0.35">
      <c r="A43" s="32">
        <v>3</v>
      </c>
      <c r="B43" s="33">
        <v>1.8E-3</v>
      </c>
      <c r="C43" s="33">
        <v>8.9999999999999998E-4</v>
      </c>
      <c r="D43" s="34">
        <f t="shared" si="8"/>
        <v>8.9999999999999998E-4</v>
      </c>
      <c r="E43" s="46"/>
      <c r="F43" s="43"/>
      <c r="G43" s="49">
        <f t="shared" si="9"/>
        <v>41.163108357915149</v>
      </c>
      <c r="I43" s="32">
        <v>18</v>
      </c>
      <c r="J43" s="33">
        <v>1.6000000000000001E-3</v>
      </c>
      <c r="K43" s="33">
        <v>1.1000000000000001E-3</v>
      </c>
      <c r="L43" s="34">
        <f t="shared" si="10"/>
        <v>5.0000000000000001E-4</v>
      </c>
      <c r="M43" s="46"/>
      <c r="N43" s="43"/>
      <c r="O43" s="49">
        <f t="shared" si="11"/>
        <v>22.868393532175084</v>
      </c>
    </row>
    <row r="44" spans="1:21" ht="15.75" customHeight="1" x14ac:dyDescent="0.35">
      <c r="A44" s="32">
        <v>4</v>
      </c>
      <c r="B44" s="33">
        <v>2E-3</v>
      </c>
      <c r="C44" s="33">
        <v>1.1000000000000001E-3</v>
      </c>
      <c r="D44" s="34">
        <f t="shared" si="8"/>
        <v>8.9999999999999998E-4</v>
      </c>
      <c r="E44" s="46"/>
      <c r="F44" s="43"/>
      <c r="G44" s="49">
        <f t="shared" si="9"/>
        <v>41.163108357915149</v>
      </c>
      <c r="I44" s="32">
        <v>19</v>
      </c>
      <c r="J44" s="33">
        <v>1.6999999999999999E-3</v>
      </c>
      <c r="K44" s="33">
        <v>1.1999999999999999E-3</v>
      </c>
      <c r="L44" s="34">
        <f t="shared" si="10"/>
        <v>5.0000000000000001E-4</v>
      </c>
      <c r="M44" s="46"/>
      <c r="N44" s="43"/>
      <c r="O44" s="49">
        <f t="shared" si="11"/>
        <v>22.868393532175084</v>
      </c>
    </row>
    <row r="45" spans="1:21" ht="15.75" customHeight="1" x14ac:dyDescent="0.35">
      <c r="A45" s="32">
        <v>5</v>
      </c>
      <c r="B45" s="33">
        <v>1.9E-3</v>
      </c>
      <c r="C45" s="33">
        <v>1.1000000000000001E-3</v>
      </c>
      <c r="D45" s="34">
        <f t="shared" si="8"/>
        <v>7.9999999999999993E-4</v>
      </c>
      <c r="E45" s="46"/>
      <c r="F45" s="43"/>
      <c r="G45" s="49">
        <f t="shared" si="9"/>
        <v>36.589429651480131</v>
      </c>
      <c r="I45" s="32">
        <v>20</v>
      </c>
      <c r="J45" s="33">
        <v>1.9E-3</v>
      </c>
      <c r="K45" s="33">
        <v>1.2999999999999999E-3</v>
      </c>
      <c r="L45" s="34">
        <f t="shared" si="10"/>
        <v>6.0000000000000006E-4</v>
      </c>
      <c r="M45" s="46"/>
      <c r="N45" s="43"/>
      <c r="O45" s="49">
        <f t="shared" si="11"/>
        <v>27.442072238610105</v>
      </c>
    </row>
    <row r="46" spans="1:21" ht="15.75" customHeight="1" x14ac:dyDescent="0.35">
      <c r="A46" s="32">
        <v>6</v>
      </c>
      <c r="B46" s="33">
        <v>1.6999999999999999E-3</v>
      </c>
      <c r="C46" s="33">
        <v>8.9999999999999998E-4</v>
      </c>
      <c r="D46" s="34">
        <f t="shared" si="8"/>
        <v>7.9999999999999993E-4</v>
      </c>
      <c r="E46" s="46"/>
      <c r="F46" s="43"/>
      <c r="G46" s="49">
        <f t="shared" si="9"/>
        <v>36.589429651480131</v>
      </c>
      <c r="I46" s="32">
        <v>21</v>
      </c>
      <c r="J46" s="33">
        <v>1.6000000000000001E-3</v>
      </c>
      <c r="K46" s="33">
        <v>1.1999999999999999E-3</v>
      </c>
      <c r="L46" s="34">
        <f t="shared" si="10"/>
        <v>4.0000000000000018E-4</v>
      </c>
      <c r="M46" s="46"/>
      <c r="N46" s="43"/>
      <c r="O46" s="49">
        <f t="shared" si="11"/>
        <v>18.294714825740073</v>
      </c>
    </row>
    <row r="47" spans="1:21" ht="15.75" customHeight="1" x14ac:dyDescent="0.35">
      <c r="A47" s="32">
        <v>7</v>
      </c>
      <c r="B47" s="33">
        <v>1.8E-3</v>
      </c>
      <c r="C47" s="33">
        <v>1.6000000000000001E-3</v>
      </c>
      <c r="D47" s="34">
        <f t="shared" si="8"/>
        <v>1.9999999999999987E-4</v>
      </c>
      <c r="E47" s="46"/>
      <c r="F47" s="43"/>
      <c r="G47" s="49">
        <f t="shared" si="9"/>
        <v>9.1473574128700275</v>
      </c>
      <c r="I47" s="32">
        <v>22</v>
      </c>
      <c r="J47" s="33">
        <v>1.8E-3</v>
      </c>
      <c r="K47" s="33">
        <v>1.1000000000000001E-3</v>
      </c>
      <c r="L47" s="34">
        <f t="shared" si="10"/>
        <v>6.9999999999999988E-4</v>
      </c>
      <c r="M47" s="46"/>
      <c r="N47" s="43"/>
      <c r="O47" s="49">
        <f t="shared" si="11"/>
        <v>32.015750945045113</v>
      </c>
    </row>
    <row r="48" spans="1:21" ht="15.75" customHeight="1" x14ac:dyDescent="0.35">
      <c r="A48" s="32">
        <v>8</v>
      </c>
      <c r="B48" s="33">
        <v>2E-3</v>
      </c>
      <c r="C48" s="33">
        <v>1E-3</v>
      </c>
      <c r="D48" s="34">
        <f t="shared" si="8"/>
        <v>1E-3</v>
      </c>
      <c r="E48" s="46"/>
      <c r="F48" s="43"/>
      <c r="G48" s="49">
        <f t="shared" si="9"/>
        <v>45.736787064350167</v>
      </c>
      <c r="I48" s="32">
        <v>23</v>
      </c>
      <c r="J48" s="33">
        <v>1.5E-3</v>
      </c>
      <c r="K48" s="33">
        <v>1E-3</v>
      </c>
      <c r="L48" s="34">
        <f t="shared" si="10"/>
        <v>5.0000000000000001E-4</v>
      </c>
      <c r="M48" s="46"/>
      <c r="N48" s="43"/>
      <c r="O48" s="49">
        <f t="shared" si="11"/>
        <v>22.868393532175084</v>
      </c>
    </row>
    <row r="49" spans="1:15" ht="15.75" customHeight="1" x14ac:dyDescent="0.35">
      <c r="A49" s="32">
        <v>9</v>
      </c>
      <c r="B49" s="33">
        <v>1.2999999999999999E-3</v>
      </c>
      <c r="C49" s="33">
        <v>5.9999999999999995E-4</v>
      </c>
      <c r="D49" s="34">
        <f t="shared" si="8"/>
        <v>6.9999999999999999E-4</v>
      </c>
      <c r="E49" s="46"/>
      <c r="F49" s="43"/>
      <c r="G49" s="49">
        <f t="shared" si="9"/>
        <v>32.01575094504512</v>
      </c>
      <c r="I49" s="32">
        <v>24</v>
      </c>
      <c r="J49" s="33">
        <v>1.6999999999999999E-3</v>
      </c>
      <c r="K49" s="33">
        <v>1.5E-3</v>
      </c>
      <c r="L49" s="34">
        <f t="shared" si="10"/>
        <v>1.9999999999999987E-4</v>
      </c>
      <c r="M49" s="46"/>
      <c r="N49" s="43"/>
      <c r="O49" s="49">
        <f t="shared" si="11"/>
        <v>9.1473574128700275</v>
      </c>
    </row>
    <row r="50" spans="1:15" ht="15.75" customHeight="1" x14ac:dyDescent="0.35">
      <c r="A50" s="32">
        <v>10</v>
      </c>
      <c r="B50" s="33">
        <v>1.6000000000000001E-3</v>
      </c>
      <c r="C50" s="33">
        <v>6.9999999999999999E-4</v>
      </c>
      <c r="D50" s="34">
        <f t="shared" si="8"/>
        <v>9.0000000000000008E-4</v>
      </c>
      <c r="E50" s="46"/>
      <c r="F50" s="43"/>
      <c r="G50" s="49">
        <f t="shared" si="9"/>
        <v>41.163108357915156</v>
      </c>
      <c r="I50" s="32">
        <v>25</v>
      </c>
      <c r="J50" s="33">
        <v>2E-3</v>
      </c>
      <c r="K50" s="33">
        <v>1.6000000000000001E-3</v>
      </c>
      <c r="L50" s="34">
        <f t="shared" si="10"/>
        <v>3.9999999999999996E-4</v>
      </c>
      <c r="M50" s="46"/>
      <c r="N50" s="43"/>
      <c r="O50" s="49">
        <f t="shared" si="11"/>
        <v>18.294714825740066</v>
      </c>
    </row>
    <row r="51" spans="1:15" ht="15.75" customHeight="1" x14ac:dyDescent="0.35">
      <c r="A51" s="32">
        <v>11</v>
      </c>
      <c r="B51" s="33">
        <v>1.8E-3</v>
      </c>
      <c r="C51" s="33">
        <v>1.1000000000000001E-3</v>
      </c>
      <c r="D51" s="34">
        <f t="shared" si="8"/>
        <v>6.9999999999999988E-4</v>
      </c>
      <c r="E51" s="46"/>
      <c r="F51" s="43"/>
      <c r="G51" s="49">
        <f t="shared" si="9"/>
        <v>32.015750945045113</v>
      </c>
      <c r="I51" s="32">
        <v>26</v>
      </c>
      <c r="J51" s="33">
        <v>1.6999999999999999E-3</v>
      </c>
      <c r="K51" s="33">
        <v>1.2999999999999999E-3</v>
      </c>
      <c r="L51" s="34">
        <f t="shared" si="10"/>
        <v>3.9999999999999996E-4</v>
      </c>
      <c r="M51" s="46"/>
      <c r="N51" s="43"/>
      <c r="O51" s="49">
        <f t="shared" si="11"/>
        <v>18.294714825740066</v>
      </c>
    </row>
    <row r="52" spans="1:15" ht="15.75" customHeight="1" x14ac:dyDescent="0.35">
      <c r="A52" s="32">
        <v>12</v>
      </c>
      <c r="B52" s="33">
        <v>1.8E-3</v>
      </c>
      <c r="C52" s="33">
        <v>8.9999999999999998E-4</v>
      </c>
      <c r="D52" s="34">
        <f t="shared" si="8"/>
        <v>8.9999999999999998E-4</v>
      </c>
      <c r="E52" s="46"/>
      <c r="F52" s="43"/>
      <c r="G52" s="49">
        <f t="shared" si="9"/>
        <v>41.163108357915149</v>
      </c>
      <c r="I52" s="32">
        <v>27</v>
      </c>
      <c r="J52" s="33">
        <v>1.6999999999999999E-3</v>
      </c>
      <c r="K52" s="33">
        <v>1.2999999999999999E-3</v>
      </c>
      <c r="L52" s="34">
        <f t="shared" si="10"/>
        <v>3.9999999999999996E-4</v>
      </c>
      <c r="M52" s="46"/>
      <c r="N52" s="43"/>
      <c r="O52" s="49">
        <f t="shared" si="11"/>
        <v>18.294714825740066</v>
      </c>
    </row>
    <row r="53" spans="1:15" ht="15.75" customHeight="1" x14ac:dyDescent="0.35">
      <c r="A53" s="32">
        <v>13</v>
      </c>
      <c r="B53" s="33">
        <v>1.8E-3</v>
      </c>
      <c r="C53" s="33">
        <v>8.0000000000000004E-4</v>
      </c>
      <c r="D53" s="34">
        <f t="shared" si="8"/>
        <v>1E-3</v>
      </c>
      <c r="E53" s="46"/>
      <c r="F53" s="43"/>
      <c r="G53" s="49">
        <f t="shared" si="9"/>
        <v>45.736787064350167</v>
      </c>
      <c r="I53" s="32">
        <v>28</v>
      </c>
      <c r="J53" s="33">
        <v>1.6999999999999999E-3</v>
      </c>
      <c r="K53" s="33">
        <v>1.1999999999999999E-3</v>
      </c>
      <c r="L53" s="34">
        <f t="shared" si="10"/>
        <v>5.0000000000000001E-4</v>
      </c>
      <c r="M53" s="46"/>
      <c r="N53" s="43"/>
      <c r="O53" s="49">
        <f t="shared" si="11"/>
        <v>22.868393532175084</v>
      </c>
    </row>
    <row r="54" spans="1:15" ht="15.75" customHeight="1" x14ac:dyDescent="0.35">
      <c r="A54" s="32">
        <v>14</v>
      </c>
      <c r="B54" s="33">
        <v>1.8E-3</v>
      </c>
      <c r="C54" s="33">
        <v>1.1000000000000001E-3</v>
      </c>
      <c r="D54" s="34">
        <f t="shared" si="8"/>
        <v>6.9999999999999988E-4</v>
      </c>
      <c r="E54" s="46"/>
      <c r="F54" s="43"/>
      <c r="G54" s="49">
        <f t="shared" si="9"/>
        <v>32.015750945045113</v>
      </c>
      <c r="I54" s="32">
        <v>29</v>
      </c>
      <c r="J54" s="33">
        <v>1.6999999999999999E-3</v>
      </c>
      <c r="K54" s="33">
        <v>1.5E-3</v>
      </c>
      <c r="L54" s="34">
        <f t="shared" si="10"/>
        <v>1.9999999999999987E-4</v>
      </c>
      <c r="M54" s="46"/>
      <c r="N54" s="43"/>
      <c r="O54" s="49">
        <f t="shared" si="11"/>
        <v>9.1473574128700275</v>
      </c>
    </row>
    <row r="55" spans="1:15" ht="15.75" customHeight="1" x14ac:dyDescent="0.35">
      <c r="A55" s="32">
        <v>15</v>
      </c>
      <c r="B55" s="33">
        <v>1.8E-3</v>
      </c>
      <c r="C55" s="33">
        <v>1.2999999999999999E-3</v>
      </c>
      <c r="D55" s="34">
        <f t="shared" si="8"/>
        <v>5.0000000000000001E-4</v>
      </c>
      <c r="E55" s="47"/>
      <c r="F55" s="44"/>
      <c r="G55" s="49">
        <f t="shared" si="9"/>
        <v>22.868393532175084</v>
      </c>
      <c r="I55" s="32">
        <v>30</v>
      </c>
      <c r="J55" s="33">
        <v>2E-3</v>
      </c>
      <c r="K55" s="33">
        <v>1.1000000000000001E-3</v>
      </c>
      <c r="L55" s="34">
        <f t="shared" si="10"/>
        <v>8.9999999999999998E-4</v>
      </c>
      <c r="M55" s="47"/>
      <c r="N55" s="44"/>
      <c r="O55" s="49">
        <f t="shared" si="11"/>
        <v>41.163108357915149</v>
      </c>
    </row>
    <row r="56" spans="1:15" ht="15.75" customHeight="1" x14ac:dyDescent="0.35">
      <c r="A56" s="26" t="s">
        <v>22</v>
      </c>
      <c r="B56" s="3"/>
      <c r="C56" s="3"/>
      <c r="D56" s="3"/>
      <c r="E56" s="3"/>
      <c r="F56" s="3"/>
      <c r="G56" s="51">
        <f>AVERAGE(G41:G55,O41:O55)</f>
        <v>28.661719893659438</v>
      </c>
      <c r="H56" s="35"/>
      <c r="I56" s="26" t="s">
        <v>23</v>
      </c>
      <c r="J56" s="3"/>
      <c r="K56" s="3"/>
      <c r="L56" s="3"/>
      <c r="M56" s="3"/>
      <c r="N56" s="3"/>
      <c r="O56" s="51">
        <f>STDEV(G41:G55,O41:Z55)</f>
        <v>10.805512388106743</v>
      </c>
    </row>
    <row r="57" spans="1:15" ht="15.75" customHeight="1" x14ac:dyDescent="0.35">
      <c r="D57" s="1"/>
      <c r="E57" s="1"/>
      <c r="F57" s="1"/>
      <c r="G57" s="1"/>
    </row>
    <row r="58" spans="1:15" ht="15.75" customHeight="1" x14ac:dyDescent="0.35">
      <c r="A58" s="2" t="s">
        <v>0</v>
      </c>
      <c r="B58" s="3"/>
      <c r="C58" s="1">
        <v>1498.8968</v>
      </c>
      <c r="D58" s="2" t="s">
        <v>1</v>
      </c>
      <c r="E58" s="3"/>
      <c r="F58" s="1">
        <f>C58/2</f>
        <v>749.44839999999999</v>
      </c>
      <c r="G58" s="4" t="s">
        <v>2</v>
      </c>
      <c r="H58" s="4">
        <v>0.997</v>
      </c>
      <c r="I58" s="4" t="s">
        <v>3</v>
      </c>
    </row>
    <row r="59" spans="1:15" ht="15.75" customHeight="1" x14ac:dyDescent="0.35">
      <c r="A59" s="29" t="s">
        <v>27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.75" customHeight="1" x14ac:dyDescent="0.35">
      <c r="A60" s="9" t="s">
        <v>7</v>
      </c>
      <c r="B60" s="31" t="s">
        <v>8</v>
      </c>
      <c r="C60" s="31" t="s">
        <v>9</v>
      </c>
      <c r="D60" s="10" t="s">
        <v>10</v>
      </c>
      <c r="E60" s="9" t="s">
        <v>11</v>
      </c>
      <c r="F60" s="9" t="s">
        <v>12</v>
      </c>
      <c r="G60" s="9" t="s">
        <v>13</v>
      </c>
      <c r="I60" s="9" t="s">
        <v>7</v>
      </c>
      <c r="J60" s="31" t="s">
        <v>8</v>
      </c>
      <c r="K60" s="31" t="s">
        <v>9</v>
      </c>
      <c r="L60" s="10" t="s">
        <v>10</v>
      </c>
      <c r="M60" s="9" t="s">
        <v>11</v>
      </c>
      <c r="N60" s="9" t="s">
        <v>12</v>
      </c>
      <c r="O60" s="9" t="s">
        <v>13</v>
      </c>
    </row>
    <row r="61" spans="1:15" ht="15.75" customHeight="1" x14ac:dyDescent="0.35">
      <c r="A61" s="32">
        <v>1</v>
      </c>
      <c r="B61" s="36">
        <v>1.6000000000000001E-3</v>
      </c>
      <c r="C61" s="33">
        <v>1.1000000000000001E-3</v>
      </c>
      <c r="D61" s="34">
        <f t="shared" ref="D61:D75" si="12">B61-C61</f>
        <v>5.0000000000000001E-4</v>
      </c>
      <c r="E61" s="45">
        <f>F58*0.0001</f>
        <v>7.4944839999999999E-2</v>
      </c>
      <c r="F61" s="42">
        <f>4/3*3.14*E61^3</f>
        <v>1.7623558114506618E-3</v>
      </c>
      <c r="G61" s="49">
        <f t="shared" ref="G61:G75" si="13">(D61/($H$38*$F$61))*100</f>
        <v>28.456484796212322</v>
      </c>
      <c r="I61" s="32">
        <v>16</v>
      </c>
      <c r="J61" s="33">
        <v>1.8E-3</v>
      </c>
      <c r="K61" s="33">
        <v>1.5E-3</v>
      </c>
      <c r="L61" s="34">
        <f t="shared" ref="L61:L75" si="14">J61-K61</f>
        <v>2.9999999999999992E-4</v>
      </c>
      <c r="M61" s="45">
        <f>F58*0.0001</f>
        <v>7.4944839999999999E-2</v>
      </c>
      <c r="N61" s="42">
        <f>4/3*3.14*M61^3</f>
        <v>1.7623558114506618E-3</v>
      </c>
      <c r="O61" s="49">
        <f t="shared" ref="O61:O75" si="15">(L61/($H$38*$F$61))*100</f>
        <v>17.073890877727386</v>
      </c>
    </row>
    <row r="62" spans="1:15" ht="15.75" customHeight="1" x14ac:dyDescent="0.35">
      <c r="A62" s="32">
        <v>2</v>
      </c>
      <c r="B62" s="33">
        <v>1.8E-3</v>
      </c>
      <c r="C62" s="33">
        <v>1.2999999999999999E-3</v>
      </c>
      <c r="D62" s="34">
        <f t="shared" si="12"/>
        <v>5.0000000000000001E-4</v>
      </c>
      <c r="E62" s="46"/>
      <c r="F62" s="43"/>
      <c r="G62" s="49">
        <f t="shared" si="13"/>
        <v>28.456484796212322</v>
      </c>
      <c r="I62" s="32">
        <v>17</v>
      </c>
      <c r="J62" s="33">
        <v>1.6999999999999999E-3</v>
      </c>
      <c r="K62" s="33">
        <v>1E-3</v>
      </c>
      <c r="L62" s="34">
        <f t="shared" si="14"/>
        <v>6.9999999999999988E-4</v>
      </c>
      <c r="M62" s="46"/>
      <c r="N62" s="43"/>
      <c r="O62" s="49">
        <f t="shared" si="15"/>
        <v>39.839078714697244</v>
      </c>
    </row>
    <row r="63" spans="1:15" ht="15.75" customHeight="1" x14ac:dyDescent="0.35">
      <c r="A63" s="32">
        <v>3</v>
      </c>
      <c r="B63" s="33">
        <v>1.6999999999999999E-3</v>
      </c>
      <c r="C63" s="33">
        <v>8.0000000000000004E-4</v>
      </c>
      <c r="D63" s="34">
        <f t="shared" si="12"/>
        <v>8.9999999999999987E-4</v>
      </c>
      <c r="E63" s="46"/>
      <c r="F63" s="43"/>
      <c r="G63" s="49">
        <f t="shared" si="13"/>
        <v>51.221672633182166</v>
      </c>
      <c r="I63" s="32">
        <v>18</v>
      </c>
      <c r="J63" s="33">
        <v>1.6000000000000001E-3</v>
      </c>
      <c r="K63" s="33">
        <v>8.0000000000000004E-4</v>
      </c>
      <c r="L63" s="34">
        <f t="shared" si="14"/>
        <v>8.0000000000000004E-4</v>
      </c>
      <c r="M63" s="46"/>
      <c r="N63" s="43"/>
      <c r="O63" s="49">
        <f t="shared" si="15"/>
        <v>45.530375673939716</v>
      </c>
    </row>
    <row r="64" spans="1:15" ht="15.75" customHeight="1" x14ac:dyDescent="0.35">
      <c r="A64" s="32">
        <v>4</v>
      </c>
      <c r="B64" s="33">
        <v>1.6999999999999999E-3</v>
      </c>
      <c r="C64" s="33">
        <v>1.1000000000000001E-3</v>
      </c>
      <c r="D64" s="34">
        <f t="shared" si="12"/>
        <v>5.9999999999999984E-4</v>
      </c>
      <c r="E64" s="46"/>
      <c r="F64" s="43"/>
      <c r="G64" s="49">
        <f t="shared" si="13"/>
        <v>34.147781755454773</v>
      </c>
      <c r="I64" s="32">
        <v>19</v>
      </c>
      <c r="J64" s="33">
        <v>1.6999999999999999E-3</v>
      </c>
      <c r="K64" s="33">
        <v>1.2999999999999999E-3</v>
      </c>
      <c r="L64" s="34">
        <f t="shared" si="14"/>
        <v>3.9999999999999996E-4</v>
      </c>
      <c r="M64" s="46"/>
      <c r="N64" s="43"/>
      <c r="O64" s="49">
        <f t="shared" si="15"/>
        <v>22.765187836969854</v>
      </c>
    </row>
    <row r="65" spans="1:15" ht="15.75" customHeight="1" x14ac:dyDescent="0.35">
      <c r="A65" s="32">
        <v>5</v>
      </c>
      <c r="B65" s="33">
        <v>1.9E-3</v>
      </c>
      <c r="C65" s="33">
        <v>1.5E-3</v>
      </c>
      <c r="D65" s="34">
        <f t="shared" si="12"/>
        <v>3.9999999999999996E-4</v>
      </c>
      <c r="E65" s="46"/>
      <c r="F65" s="43"/>
      <c r="G65" s="49">
        <f t="shared" si="13"/>
        <v>22.765187836969854</v>
      </c>
      <c r="I65" s="32">
        <v>20</v>
      </c>
      <c r="J65" s="33">
        <v>1.6999999999999999E-3</v>
      </c>
      <c r="K65" s="33">
        <v>1.4E-3</v>
      </c>
      <c r="L65" s="34">
        <f t="shared" si="14"/>
        <v>2.9999999999999992E-4</v>
      </c>
      <c r="M65" s="46"/>
      <c r="N65" s="43"/>
      <c r="O65" s="49">
        <f t="shared" si="15"/>
        <v>17.073890877727386</v>
      </c>
    </row>
    <row r="66" spans="1:15" ht="15.75" customHeight="1" x14ac:dyDescent="0.35">
      <c r="A66" s="32">
        <v>6</v>
      </c>
      <c r="B66" s="33">
        <v>1.5E-3</v>
      </c>
      <c r="C66" s="33">
        <v>1.1000000000000001E-3</v>
      </c>
      <c r="D66" s="34">
        <f t="shared" si="12"/>
        <v>3.9999999999999996E-4</v>
      </c>
      <c r="E66" s="46"/>
      <c r="F66" s="43"/>
      <c r="G66" s="49">
        <f t="shared" si="13"/>
        <v>22.765187836969854</v>
      </c>
      <c r="I66" s="32">
        <v>21</v>
      </c>
      <c r="J66" s="33">
        <v>2E-3</v>
      </c>
      <c r="K66" s="33">
        <v>1.4E-3</v>
      </c>
      <c r="L66" s="34">
        <f t="shared" si="14"/>
        <v>6.0000000000000006E-4</v>
      </c>
      <c r="M66" s="46"/>
      <c r="N66" s="43"/>
      <c r="O66" s="49">
        <f t="shared" si="15"/>
        <v>34.147781755454787</v>
      </c>
    </row>
    <row r="67" spans="1:15" ht="15.75" customHeight="1" x14ac:dyDescent="0.35">
      <c r="A67" s="32">
        <v>7</v>
      </c>
      <c r="B67" s="33">
        <v>1.8E-3</v>
      </c>
      <c r="C67" s="33">
        <v>1.2999999999999999E-3</v>
      </c>
      <c r="D67" s="34">
        <f t="shared" si="12"/>
        <v>5.0000000000000001E-4</v>
      </c>
      <c r="E67" s="46"/>
      <c r="F67" s="43"/>
      <c r="G67" s="49">
        <f t="shared" si="13"/>
        <v>28.456484796212322</v>
      </c>
      <c r="I67" s="32">
        <v>22</v>
      </c>
      <c r="J67" s="33">
        <v>1.5E-3</v>
      </c>
      <c r="K67" s="33">
        <v>8.0000000000000004E-4</v>
      </c>
      <c r="L67" s="34">
        <f t="shared" si="14"/>
        <v>6.9999999999999999E-4</v>
      </c>
      <c r="M67" s="46"/>
      <c r="N67" s="43"/>
      <c r="O67" s="49">
        <f t="shared" si="15"/>
        <v>39.839078714697251</v>
      </c>
    </row>
    <row r="68" spans="1:15" ht="15.75" customHeight="1" x14ac:dyDescent="0.35">
      <c r="A68" s="32">
        <v>8</v>
      </c>
      <c r="B68" s="33">
        <v>2.3E-3</v>
      </c>
      <c r="C68" s="33">
        <v>1.6999999999999999E-3</v>
      </c>
      <c r="D68" s="34">
        <f t="shared" si="12"/>
        <v>6.0000000000000006E-4</v>
      </c>
      <c r="E68" s="46"/>
      <c r="F68" s="43"/>
      <c r="G68" s="49">
        <f t="shared" si="13"/>
        <v>34.147781755454787</v>
      </c>
      <c r="I68" s="32">
        <v>23</v>
      </c>
      <c r="J68" s="33">
        <v>2E-3</v>
      </c>
      <c r="K68" s="33">
        <v>1.1999999999999999E-3</v>
      </c>
      <c r="L68" s="34">
        <f t="shared" si="14"/>
        <v>8.0000000000000015E-4</v>
      </c>
      <c r="M68" s="46"/>
      <c r="N68" s="43"/>
      <c r="O68" s="49">
        <f t="shared" si="15"/>
        <v>45.530375673939723</v>
      </c>
    </row>
    <row r="69" spans="1:15" ht="15.75" customHeight="1" x14ac:dyDescent="0.35">
      <c r="A69" s="32">
        <v>9</v>
      </c>
      <c r="B69" s="33">
        <v>1.6999999999999999E-3</v>
      </c>
      <c r="C69" s="33">
        <v>1.4E-3</v>
      </c>
      <c r="D69" s="34">
        <f t="shared" si="12"/>
        <v>2.9999999999999992E-4</v>
      </c>
      <c r="E69" s="46"/>
      <c r="F69" s="43"/>
      <c r="G69" s="49">
        <f t="shared" si="13"/>
        <v>17.073890877727386</v>
      </c>
      <c r="I69" s="32">
        <v>24</v>
      </c>
      <c r="J69" s="33">
        <v>1.8E-3</v>
      </c>
      <c r="K69" s="33">
        <v>1E-3</v>
      </c>
      <c r="L69" s="34">
        <f t="shared" si="14"/>
        <v>7.9999999999999993E-4</v>
      </c>
      <c r="M69" s="46"/>
      <c r="N69" s="43"/>
      <c r="O69" s="49">
        <f t="shared" si="15"/>
        <v>45.530375673939709</v>
      </c>
    </row>
    <row r="70" spans="1:15" ht="15.75" customHeight="1" x14ac:dyDescent="0.35">
      <c r="A70" s="32">
        <v>10</v>
      </c>
      <c r="B70" s="33">
        <v>1.5E-3</v>
      </c>
      <c r="C70" s="33">
        <v>1.1000000000000001E-3</v>
      </c>
      <c r="D70" s="34">
        <f t="shared" si="12"/>
        <v>3.9999999999999996E-4</v>
      </c>
      <c r="E70" s="46"/>
      <c r="F70" s="43"/>
      <c r="G70" s="49">
        <f t="shared" si="13"/>
        <v>22.765187836969854</v>
      </c>
      <c r="I70" s="32">
        <v>25</v>
      </c>
      <c r="J70" s="33">
        <v>1.6000000000000001E-3</v>
      </c>
      <c r="K70" s="33">
        <v>8.9999999999999998E-4</v>
      </c>
      <c r="L70" s="34">
        <f t="shared" si="14"/>
        <v>7.000000000000001E-4</v>
      </c>
      <c r="M70" s="46"/>
      <c r="N70" s="43"/>
      <c r="O70" s="49">
        <f t="shared" si="15"/>
        <v>39.839078714697258</v>
      </c>
    </row>
    <row r="71" spans="1:15" ht="15.75" customHeight="1" x14ac:dyDescent="0.35">
      <c r="A71" s="32">
        <v>11</v>
      </c>
      <c r="B71" s="33">
        <v>1.6000000000000001E-3</v>
      </c>
      <c r="C71" s="33">
        <v>1E-3</v>
      </c>
      <c r="D71" s="34">
        <f t="shared" si="12"/>
        <v>6.0000000000000006E-4</v>
      </c>
      <c r="E71" s="46"/>
      <c r="F71" s="43"/>
      <c r="G71" s="49">
        <f t="shared" si="13"/>
        <v>34.147781755454787</v>
      </c>
      <c r="I71" s="32">
        <v>26</v>
      </c>
      <c r="J71" s="33">
        <v>1.8E-3</v>
      </c>
      <c r="K71" s="33">
        <v>1.1999999999999999E-3</v>
      </c>
      <c r="L71" s="34">
        <f t="shared" si="14"/>
        <v>6.0000000000000006E-4</v>
      </c>
      <c r="M71" s="46"/>
      <c r="N71" s="43"/>
      <c r="O71" s="49">
        <f t="shared" si="15"/>
        <v>34.147781755454787</v>
      </c>
    </row>
    <row r="72" spans="1:15" ht="15.75" customHeight="1" x14ac:dyDescent="0.35">
      <c r="A72" s="32">
        <v>12</v>
      </c>
      <c r="B72" s="33">
        <v>1.6999999999999999E-3</v>
      </c>
      <c r="C72" s="33">
        <v>1.1999999999999999E-3</v>
      </c>
      <c r="D72" s="34">
        <f t="shared" si="12"/>
        <v>5.0000000000000001E-4</v>
      </c>
      <c r="E72" s="46"/>
      <c r="F72" s="43"/>
      <c r="G72" s="49">
        <f t="shared" si="13"/>
        <v>28.456484796212322</v>
      </c>
      <c r="I72" s="32">
        <v>27</v>
      </c>
      <c r="J72" s="33">
        <v>1.6999999999999999E-3</v>
      </c>
      <c r="K72" s="33">
        <v>1.2999999999999999E-3</v>
      </c>
      <c r="L72" s="34">
        <f t="shared" si="14"/>
        <v>3.9999999999999996E-4</v>
      </c>
      <c r="M72" s="46"/>
      <c r="N72" s="43"/>
      <c r="O72" s="49">
        <f t="shared" si="15"/>
        <v>22.765187836969854</v>
      </c>
    </row>
    <row r="73" spans="1:15" ht="15.75" customHeight="1" x14ac:dyDescent="0.35">
      <c r="A73" s="32">
        <v>13</v>
      </c>
      <c r="B73" s="33">
        <v>1.5E-3</v>
      </c>
      <c r="C73" s="33">
        <v>8.9999999999999998E-4</v>
      </c>
      <c r="D73" s="34">
        <f t="shared" si="12"/>
        <v>6.0000000000000006E-4</v>
      </c>
      <c r="E73" s="46"/>
      <c r="F73" s="43"/>
      <c r="G73" s="49">
        <f t="shared" si="13"/>
        <v>34.147781755454787</v>
      </c>
      <c r="I73" s="32">
        <v>28</v>
      </c>
      <c r="J73" s="33">
        <v>1.6999999999999999E-3</v>
      </c>
      <c r="K73" s="33">
        <v>1.1000000000000001E-3</v>
      </c>
      <c r="L73" s="34">
        <f t="shared" si="14"/>
        <v>5.9999999999999984E-4</v>
      </c>
      <c r="M73" s="46"/>
      <c r="N73" s="43"/>
      <c r="O73" s="49">
        <f t="shared" si="15"/>
        <v>34.147781755454773</v>
      </c>
    </row>
    <row r="74" spans="1:15" ht="15.75" customHeight="1" x14ac:dyDescent="0.35">
      <c r="A74" s="32">
        <v>14</v>
      </c>
      <c r="B74" s="33">
        <v>1.6999999999999999E-3</v>
      </c>
      <c r="C74" s="33">
        <v>1.2999999999999999E-3</v>
      </c>
      <c r="D74" s="34">
        <f t="shared" si="12"/>
        <v>3.9999999999999996E-4</v>
      </c>
      <c r="E74" s="46"/>
      <c r="F74" s="43"/>
      <c r="G74" s="49">
        <f t="shared" si="13"/>
        <v>22.765187836969854</v>
      </c>
      <c r="I74" s="32">
        <v>29</v>
      </c>
      <c r="J74" s="33">
        <v>1.6000000000000001E-3</v>
      </c>
      <c r="K74" s="33">
        <v>1E-3</v>
      </c>
      <c r="L74" s="34">
        <f t="shared" si="14"/>
        <v>6.0000000000000006E-4</v>
      </c>
      <c r="M74" s="46"/>
      <c r="N74" s="43"/>
      <c r="O74" s="49">
        <f t="shared" si="15"/>
        <v>34.147781755454787</v>
      </c>
    </row>
    <row r="75" spans="1:15" ht="15.75" customHeight="1" x14ac:dyDescent="0.35">
      <c r="A75" s="32">
        <v>15</v>
      </c>
      <c r="B75" s="33">
        <v>1.6999999999999999E-3</v>
      </c>
      <c r="C75" s="33">
        <v>1.1000000000000001E-3</v>
      </c>
      <c r="D75" s="34">
        <f t="shared" si="12"/>
        <v>5.9999999999999984E-4</v>
      </c>
      <c r="E75" s="47"/>
      <c r="F75" s="44"/>
      <c r="G75" s="49">
        <f t="shared" si="13"/>
        <v>34.147781755454773</v>
      </c>
      <c r="I75" s="32">
        <v>30</v>
      </c>
      <c r="J75" s="33">
        <v>1.6999999999999999E-3</v>
      </c>
      <c r="K75" s="33">
        <v>1.4E-3</v>
      </c>
      <c r="L75" s="34">
        <f t="shared" si="14"/>
        <v>2.9999999999999992E-4</v>
      </c>
      <c r="M75" s="47"/>
      <c r="N75" s="44"/>
      <c r="O75" s="49">
        <f t="shared" si="15"/>
        <v>17.073890877727386</v>
      </c>
    </row>
    <row r="76" spans="1:15" ht="15.75" customHeight="1" x14ac:dyDescent="0.35">
      <c r="A76" s="26" t="s">
        <v>22</v>
      </c>
      <c r="B76" s="3"/>
      <c r="C76" s="3"/>
      <c r="D76" s="3"/>
      <c r="E76" s="3"/>
      <c r="F76" s="3"/>
      <c r="G76" s="51">
        <f>AVERAGE(G61:G75,O61:O75)</f>
        <v>31.11242337719214</v>
      </c>
      <c r="H76" s="35"/>
      <c r="I76" s="26" t="s">
        <v>23</v>
      </c>
      <c r="J76" s="3"/>
      <c r="K76" s="3"/>
      <c r="L76" s="3"/>
      <c r="M76" s="3"/>
      <c r="N76" s="3"/>
      <c r="O76" s="51">
        <f>STDEV(G61:G75,O61:Z75)</f>
        <v>9.4211679493284812</v>
      </c>
    </row>
    <row r="77" spans="1:15" ht="15.75" customHeight="1" x14ac:dyDescent="0.35">
      <c r="A77" s="1"/>
      <c r="B77" s="1"/>
      <c r="C77" s="1"/>
      <c r="D77" s="1"/>
      <c r="E77" s="1"/>
      <c r="F77" s="1"/>
      <c r="G77" s="1"/>
    </row>
    <row r="78" spans="1:15" ht="15.75" customHeight="1" x14ac:dyDescent="0.35">
      <c r="A78" s="2" t="s">
        <v>0</v>
      </c>
      <c r="B78" s="3"/>
      <c r="C78" s="1">
        <v>1433.10385</v>
      </c>
      <c r="D78" s="2" t="s">
        <v>1</v>
      </c>
      <c r="E78" s="3"/>
      <c r="F78" s="1">
        <f>C78/2</f>
        <v>716.55192499999998</v>
      </c>
      <c r="G78" s="4" t="s">
        <v>2</v>
      </c>
      <c r="H78" s="4">
        <v>0.997</v>
      </c>
      <c r="I78" s="4" t="s">
        <v>3</v>
      </c>
    </row>
    <row r="79" spans="1:15" ht="15.75" customHeight="1" x14ac:dyDescent="0.35">
      <c r="A79" s="5" t="s">
        <v>28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.75" customHeight="1" x14ac:dyDescent="0.35">
      <c r="A80" s="10" t="s">
        <v>7</v>
      </c>
      <c r="B80" s="10" t="s">
        <v>8</v>
      </c>
      <c r="C80" s="10" t="s">
        <v>9</v>
      </c>
      <c r="D80" s="10" t="s">
        <v>10</v>
      </c>
      <c r="E80" s="10" t="s">
        <v>29</v>
      </c>
      <c r="F80" s="10" t="s">
        <v>12</v>
      </c>
      <c r="G80" s="10" t="s">
        <v>13</v>
      </c>
      <c r="H80" s="4"/>
      <c r="I80" s="10" t="s">
        <v>7</v>
      </c>
      <c r="J80" s="10" t="s">
        <v>8</v>
      </c>
      <c r="K80" s="10" t="s">
        <v>9</v>
      </c>
      <c r="L80" s="10" t="s">
        <v>10</v>
      </c>
      <c r="M80" s="10" t="s">
        <v>29</v>
      </c>
      <c r="N80" s="10" t="s">
        <v>12</v>
      </c>
      <c r="O80" s="10" t="s">
        <v>13</v>
      </c>
    </row>
    <row r="81" spans="1:15" ht="15.75" customHeight="1" x14ac:dyDescent="0.35">
      <c r="A81" s="1">
        <v>1</v>
      </c>
      <c r="B81" s="37">
        <v>1.6000000000000001E-3</v>
      </c>
      <c r="C81" s="38">
        <v>5.0000000000000001E-4</v>
      </c>
      <c r="D81" s="38">
        <f t="shared" ref="D81:D95" si="16">B81-C81</f>
        <v>1.1000000000000001E-3</v>
      </c>
      <c r="E81" s="54">
        <f>F78*0.0001</f>
        <v>7.1655192500000006E-2</v>
      </c>
      <c r="F81" s="52">
        <f>4/3*3.14*E81^3</f>
        <v>1.5403215300483152E-3</v>
      </c>
      <c r="G81" s="56">
        <f t="shared" ref="G81:G95" si="17">(D81/($H$78*$F$81))*100</f>
        <v>71.628546914796459</v>
      </c>
      <c r="H81" s="4"/>
      <c r="I81" s="1">
        <v>16</v>
      </c>
      <c r="J81" s="38">
        <v>1.1999999999999999E-3</v>
      </c>
      <c r="K81" s="38">
        <v>6.9999999999999999E-4</v>
      </c>
      <c r="L81" s="38">
        <f t="shared" ref="L81:L95" si="18">J81-K81</f>
        <v>4.999999999999999E-4</v>
      </c>
      <c r="M81" s="54">
        <f>F78*0.0001</f>
        <v>7.1655192500000006E-2</v>
      </c>
      <c r="N81" s="52">
        <f>4/3*3.14*M81^3</f>
        <v>1.5403215300483152E-3</v>
      </c>
      <c r="O81" s="56">
        <f t="shared" ref="O81:O95" si="19">(L81/($H$78*$F$81))*100</f>
        <v>32.558430415816566</v>
      </c>
    </row>
    <row r="82" spans="1:15" ht="15.75" customHeight="1" x14ac:dyDescent="0.35">
      <c r="A82" s="1">
        <v>2</v>
      </c>
      <c r="B82" s="38">
        <v>1.5E-3</v>
      </c>
      <c r="C82" s="38">
        <v>2.9999999999999997E-4</v>
      </c>
      <c r="D82" s="38">
        <f t="shared" si="16"/>
        <v>1.2000000000000001E-3</v>
      </c>
      <c r="E82" s="55"/>
      <c r="F82" s="53"/>
      <c r="G82" s="56">
        <f t="shared" si="17"/>
        <v>78.140232997959785</v>
      </c>
      <c r="H82" s="4"/>
      <c r="I82" s="1">
        <v>17</v>
      </c>
      <c r="J82" s="38">
        <v>1.1999999999999999E-3</v>
      </c>
      <c r="K82" s="38">
        <v>5.0000000000000001E-4</v>
      </c>
      <c r="L82" s="38">
        <f t="shared" si="18"/>
        <v>6.9999999999999988E-4</v>
      </c>
      <c r="M82" s="55"/>
      <c r="N82" s="53"/>
      <c r="O82" s="56">
        <f t="shared" si="19"/>
        <v>45.581802582143197</v>
      </c>
    </row>
    <row r="83" spans="1:15" ht="15.75" customHeight="1" x14ac:dyDescent="0.35">
      <c r="A83" s="1">
        <v>3</v>
      </c>
      <c r="B83" s="38">
        <v>2.5999999999999999E-3</v>
      </c>
      <c r="C83" s="38">
        <v>1.6000000000000001E-3</v>
      </c>
      <c r="D83" s="38">
        <f t="shared" si="16"/>
        <v>9.999999999999998E-4</v>
      </c>
      <c r="E83" s="55"/>
      <c r="F83" s="53"/>
      <c r="G83" s="56">
        <f t="shared" si="17"/>
        <v>65.116860831633133</v>
      </c>
      <c r="H83" s="4"/>
      <c r="I83" s="1">
        <v>18</v>
      </c>
      <c r="J83" s="38">
        <v>1.4E-3</v>
      </c>
      <c r="K83" s="38">
        <v>5.9999999999999995E-4</v>
      </c>
      <c r="L83" s="38">
        <f t="shared" si="18"/>
        <v>8.0000000000000004E-4</v>
      </c>
      <c r="M83" s="55"/>
      <c r="N83" s="53"/>
      <c r="O83" s="56">
        <f t="shared" si="19"/>
        <v>52.093488665306523</v>
      </c>
    </row>
    <row r="84" spans="1:15" ht="15.75" customHeight="1" x14ac:dyDescent="0.35">
      <c r="A84" s="1">
        <v>4</v>
      </c>
      <c r="B84" s="38">
        <v>1.1000000000000001E-3</v>
      </c>
      <c r="C84" s="38">
        <v>8.0000000000000004E-4</v>
      </c>
      <c r="D84" s="38">
        <f t="shared" si="16"/>
        <v>3.0000000000000003E-4</v>
      </c>
      <c r="E84" s="55"/>
      <c r="F84" s="53"/>
      <c r="G84" s="56">
        <f t="shared" si="17"/>
        <v>19.535058249489946</v>
      </c>
      <c r="H84" s="4"/>
      <c r="I84" s="1">
        <v>19</v>
      </c>
      <c r="J84" s="38">
        <v>1.1999999999999999E-3</v>
      </c>
      <c r="K84" s="38">
        <v>8.0000000000000004E-4</v>
      </c>
      <c r="L84" s="38">
        <f t="shared" si="18"/>
        <v>3.9999999999999986E-4</v>
      </c>
      <c r="M84" s="55"/>
      <c r="N84" s="53"/>
      <c r="O84" s="56">
        <f t="shared" si="19"/>
        <v>26.046744332653248</v>
      </c>
    </row>
    <row r="85" spans="1:15" ht="15.75" customHeight="1" x14ac:dyDescent="0.35">
      <c r="A85" s="1">
        <v>5</v>
      </c>
      <c r="B85" s="38">
        <v>1.4E-3</v>
      </c>
      <c r="C85" s="38">
        <v>1E-3</v>
      </c>
      <c r="D85" s="38">
        <f t="shared" si="16"/>
        <v>3.9999999999999996E-4</v>
      </c>
      <c r="E85" s="55"/>
      <c r="F85" s="53"/>
      <c r="G85" s="56">
        <f t="shared" si="17"/>
        <v>26.046744332653262</v>
      </c>
      <c r="H85" s="4"/>
      <c r="I85" s="1">
        <v>20</v>
      </c>
      <c r="J85" s="38">
        <v>1.1000000000000001E-3</v>
      </c>
      <c r="K85" s="38">
        <v>6.9999999999999999E-4</v>
      </c>
      <c r="L85" s="38">
        <f t="shared" si="18"/>
        <v>4.0000000000000007E-4</v>
      </c>
      <c r="M85" s="55"/>
      <c r="N85" s="53"/>
      <c r="O85" s="56">
        <f t="shared" si="19"/>
        <v>26.046744332653265</v>
      </c>
    </row>
    <row r="86" spans="1:15" ht="15.75" customHeight="1" x14ac:dyDescent="0.35">
      <c r="A86" s="1">
        <v>6</v>
      </c>
      <c r="B86" s="38">
        <v>1.5E-3</v>
      </c>
      <c r="C86" s="38">
        <v>8.0000000000000004E-4</v>
      </c>
      <c r="D86" s="38">
        <f t="shared" si="16"/>
        <v>6.9999999999999999E-4</v>
      </c>
      <c r="E86" s="55"/>
      <c r="F86" s="53"/>
      <c r="G86" s="56">
        <f t="shared" si="17"/>
        <v>45.581802582143204</v>
      </c>
      <c r="H86" s="4"/>
      <c r="I86" s="1">
        <v>21</v>
      </c>
      <c r="J86" s="38">
        <v>1.2999999999999999E-3</v>
      </c>
      <c r="K86" s="38">
        <v>8.9999999999999998E-4</v>
      </c>
      <c r="L86" s="38">
        <f t="shared" si="18"/>
        <v>3.9999999999999996E-4</v>
      </c>
      <c r="M86" s="55"/>
      <c r="N86" s="53"/>
      <c r="O86" s="56">
        <f t="shared" si="19"/>
        <v>26.046744332653262</v>
      </c>
    </row>
    <row r="87" spans="1:15" ht="15.75" customHeight="1" x14ac:dyDescent="0.35">
      <c r="A87" s="1">
        <v>7</v>
      </c>
      <c r="B87" s="38">
        <v>1.6999999999999999E-3</v>
      </c>
      <c r="C87" s="38">
        <v>6.9999999999999999E-4</v>
      </c>
      <c r="D87" s="38">
        <f t="shared" si="16"/>
        <v>1E-3</v>
      </c>
      <c r="E87" s="55"/>
      <c r="F87" s="53"/>
      <c r="G87" s="56">
        <f t="shared" si="17"/>
        <v>65.116860831633147</v>
      </c>
      <c r="H87" s="4"/>
      <c r="I87" s="1">
        <v>22</v>
      </c>
      <c r="J87" s="38">
        <v>1E-3</v>
      </c>
      <c r="K87" s="38">
        <v>8.0000000000000004E-4</v>
      </c>
      <c r="L87" s="38">
        <f t="shared" si="18"/>
        <v>1.9999999999999998E-4</v>
      </c>
      <c r="M87" s="55"/>
      <c r="N87" s="53"/>
      <c r="O87" s="56">
        <f t="shared" si="19"/>
        <v>13.023372166326631</v>
      </c>
    </row>
    <row r="88" spans="1:15" ht="15.75" customHeight="1" x14ac:dyDescent="0.35">
      <c r="A88" s="1">
        <v>8</v>
      </c>
      <c r="B88" s="38">
        <v>1.1999999999999999E-3</v>
      </c>
      <c r="C88" s="38">
        <v>6.9999999999999999E-4</v>
      </c>
      <c r="D88" s="38">
        <f t="shared" si="16"/>
        <v>4.999999999999999E-4</v>
      </c>
      <c r="E88" s="55"/>
      <c r="F88" s="53"/>
      <c r="G88" s="56">
        <f t="shared" si="17"/>
        <v>32.558430415816566</v>
      </c>
      <c r="H88" s="4"/>
      <c r="I88" s="1">
        <v>23</v>
      </c>
      <c r="J88" s="38">
        <v>1.4E-3</v>
      </c>
      <c r="K88" s="38">
        <v>5.9999999999999995E-4</v>
      </c>
      <c r="L88" s="38">
        <f t="shared" si="18"/>
        <v>8.0000000000000004E-4</v>
      </c>
      <c r="M88" s="55"/>
      <c r="N88" s="53"/>
      <c r="O88" s="56">
        <f t="shared" si="19"/>
        <v>52.093488665306523</v>
      </c>
    </row>
    <row r="89" spans="1:15" ht="15.75" customHeight="1" x14ac:dyDescent="0.35">
      <c r="A89" s="1">
        <v>9</v>
      </c>
      <c r="B89" s="38">
        <v>1.1999999999999999E-3</v>
      </c>
      <c r="C89" s="38">
        <v>6.9999999999999999E-4</v>
      </c>
      <c r="D89" s="38">
        <f t="shared" si="16"/>
        <v>4.999999999999999E-4</v>
      </c>
      <c r="E89" s="55"/>
      <c r="F89" s="53"/>
      <c r="G89" s="56">
        <f t="shared" si="17"/>
        <v>32.558430415816566</v>
      </c>
      <c r="H89" s="4"/>
      <c r="I89" s="1">
        <v>24</v>
      </c>
      <c r="J89" s="38">
        <v>1.4E-3</v>
      </c>
      <c r="K89" s="38">
        <v>8.9999999999999998E-4</v>
      </c>
      <c r="L89" s="38">
        <f t="shared" si="18"/>
        <v>5.0000000000000001E-4</v>
      </c>
      <c r="M89" s="55"/>
      <c r="N89" s="53"/>
      <c r="O89" s="56">
        <f t="shared" si="19"/>
        <v>32.558430415816574</v>
      </c>
    </row>
    <row r="90" spans="1:15" ht="15.75" customHeight="1" x14ac:dyDescent="0.35">
      <c r="A90" s="1">
        <v>10</v>
      </c>
      <c r="B90" s="38">
        <v>1.6999999999999999E-3</v>
      </c>
      <c r="C90" s="38">
        <v>5.9999999999999995E-4</v>
      </c>
      <c r="D90" s="38">
        <f t="shared" si="16"/>
        <v>1.0999999999999998E-3</v>
      </c>
      <c r="E90" s="55"/>
      <c r="F90" s="53"/>
      <c r="G90" s="56">
        <f t="shared" si="17"/>
        <v>71.628546914796459</v>
      </c>
      <c r="H90" s="4"/>
      <c r="I90" s="1">
        <v>25</v>
      </c>
      <c r="J90" s="38">
        <v>1.1999999999999999E-3</v>
      </c>
      <c r="K90" s="38">
        <v>5.9999999999999995E-4</v>
      </c>
      <c r="L90" s="38">
        <f t="shared" si="18"/>
        <v>5.9999999999999995E-4</v>
      </c>
      <c r="M90" s="55"/>
      <c r="N90" s="53"/>
      <c r="O90" s="56">
        <f t="shared" si="19"/>
        <v>39.070116498979885</v>
      </c>
    </row>
    <row r="91" spans="1:15" ht="15.75" customHeight="1" x14ac:dyDescent="0.35">
      <c r="A91" s="1">
        <v>11</v>
      </c>
      <c r="B91" s="38">
        <v>1.2999999999999999E-3</v>
      </c>
      <c r="C91" s="38">
        <v>5.9999999999999995E-4</v>
      </c>
      <c r="D91" s="38">
        <f t="shared" si="16"/>
        <v>6.9999999999999999E-4</v>
      </c>
      <c r="E91" s="55"/>
      <c r="F91" s="53"/>
      <c r="G91" s="56">
        <f t="shared" si="17"/>
        <v>45.581802582143204</v>
      </c>
      <c r="H91" s="4"/>
      <c r="I91" s="1">
        <v>26</v>
      </c>
      <c r="J91" s="38">
        <v>1.2999999999999999E-3</v>
      </c>
      <c r="K91" s="38">
        <v>8.0000000000000004E-4</v>
      </c>
      <c r="L91" s="38">
        <f t="shared" si="18"/>
        <v>4.999999999999999E-4</v>
      </c>
      <c r="M91" s="55"/>
      <c r="N91" s="53"/>
      <c r="O91" s="56">
        <f t="shared" si="19"/>
        <v>32.558430415816566</v>
      </c>
    </row>
    <row r="92" spans="1:15" ht="15.75" customHeight="1" x14ac:dyDescent="0.35">
      <c r="A92" s="1">
        <v>12</v>
      </c>
      <c r="B92" s="38">
        <v>2E-3</v>
      </c>
      <c r="C92" s="38">
        <v>1.6000000000000001E-3</v>
      </c>
      <c r="D92" s="38">
        <f t="shared" si="16"/>
        <v>3.9999999999999996E-4</v>
      </c>
      <c r="E92" s="55"/>
      <c r="F92" s="53"/>
      <c r="G92" s="56">
        <f t="shared" si="17"/>
        <v>26.046744332653262</v>
      </c>
      <c r="H92" s="4"/>
      <c r="I92" s="1">
        <v>27</v>
      </c>
      <c r="J92" s="38">
        <v>8.9999999999999998E-4</v>
      </c>
      <c r="K92" s="38">
        <v>4.0000000000000002E-4</v>
      </c>
      <c r="L92" s="38">
        <f t="shared" si="18"/>
        <v>5.0000000000000001E-4</v>
      </c>
      <c r="M92" s="55"/>
      <c r="N92" s="53"/>
      <c r="O92" s="56">
        <f t="shared" si="19"/>
        <v>32.558430415816574</v>
      </c>
    </row>
    <row r="93" spans="1:15" ht="15.75" customHeight="1" x14ac:dyDescent="0.35">
      <c r="A93" s="1">
        <v>13</v>
      </c>
      <c r="B93" s="38">
        <v>1.2999999999999999E-3</v>
      </c>
      <c r="C93" s="38">
        <v>8.0000000000000004E-4</v>
      </c>
      <c r="D93" s="38">
        <f t="shared" si="16"/>
        <v>4.999999999999999E-4</v>
      </c>
      <c r="E93" s="55"/>
      <c r="F93" s="53"/>
      <c r="G93" s="56">
        <f t="shared" si="17"/>
        <v>32.558430415816566</v>
      </c>
      <c r="H93" s="4"/>
      <c r="I93" s="1">
        <v>28</v>
      </c>
      <c r="J93" s="38">
        <v>6.9999999999999999E-4</v>
      </c>
      <c r="K93" s="38">
        <v>2.9999999999999997E-4</v>
      </c>
      <c r="L93" s="38">
        <f t="shared" si="18"/>
        <v>4.0000000000000002E-4</v>
      </c>
      <c r="M93" s="55"/>
      <c r="N93" s="53"/>
      <c r="O93" s="56">
        <f t="shared" si="19"/>
        <v>26.046744332653262</v>
      </c>
    </row>
    <row r="94" spans="1:15" ht="15.75" customHeight="1" x14ac:dyDescent="0.35">
      <c r="A94" s="1">
        <v>14</v>
      </c>
      <c r="B94" s="38">
        <v>1E-3</v>
      </c>
      <c r="C94" s="38">
        <v>5.9999999999999995E-4</v>
      </c>
      <c r="D94" s="38">
        <f t="shared" si="16"/>
        <v>4.0000000000000007E-4</v>
      </c>
      <c r="E94" s="55"/>
      <c r="F94" s="53"/>
      <c r="G94" s="56">
        <f t="shared" si="17"/>
        <v>26.046744332653265</v>
      </c>
      <c r="H94" s="4"/>
      <c r="I94" s="1">
        <v>29</v>
      </c>
      <c r="J94" s="38">
        <v>1.4E-3</v>
      </c>
      <c r="K94" s="38">
        <v>8.0000000000000004E-4</v>
      </c>
      <c r="L94" s="38">
        <f t="shared" si="18"/>
        <v>5.9999999999999995E-4</v>
      </c>
      <c r="M94" s="55"/>
      <c r="N94" s="53"/>
      <c r="O94" s="56">
        <f t="shared" si="19"/>
        <v>39.070116498979885</v>
      </c>
    </row>
    <row r="95" spans="1:15" ht="15.75" customHeight="1" x14ac:dyDescent="0.35">
      <c r="A95" s="1">
        <v>15</v>
      </c>
      <c r="B95" s="38">
        <v>1.4E-3</v>
      </c>
      <c r="C95" s="38">
        <v>5.9999999999999995E-4</v>
      </c>
      <c r="D95" s="38">
        <f t="shared" si="16"/>
        <v>8.0000000000000004E-4</v>
      </c>
      <c r="E95" s="55"/>
      <c r="F95" s="53"/>
      <c r="G95" s="56">
        <f t="shared" si="17"/>
        <v>52.093488665306523</v>
      </c>
      <c r="H95" s="4"/>
      <c r="I95" s="1">
        <v>30</v>
      </c>
      <c r="J95" s="38">
        <v>1.2999999999999999E-3</v>
      </c>
      <c r="K95" s="38">
        <v>8.0000000000000004E-4</v>
      </c>
      <c r="L95" s="38">
        <f t="shared" si="18"/>
        <v>4.999999999999999E-4</v>
      </c>
      <c r="M95" s="55"/>
      <c r="N95" s="53"/>
      <c r="O95" s="56">
        <f t="shared" si="19"/>
        <v>32.558430415816566</v>
      </c>
    </row>
    <row r="96" spans="1:15" ht="15.75" customHeight="1" x14ac:dyDescent="0.35">
      <c r="A96" s="26" t="s">
        <v>22</v>
      </c>
      <c r="B96" s="3"/>
      <c r="C96" s="3"/>
      <c r="D96" s="3"/>
      <c r="E96" s="3"/>
      <c r="F96" s="3"/>
      <c r="G96" s="51">
        <f>AVERAGE(G81:G95,O81:O95)</f>
        <v>39.938341310068317</v>
      </c>
      <c r="H96" s="35"/>
      <c r="I96" s="26" t="s">
        <v>23</v>
      </c>
      <c r="J96" s="3"/>
      <c r="K96" s="3"/>
      <c r="L96" s="3"/>
      <c r="M96" s="3"/>
      <c r="N96" s="3"/>
      <c r="O96" s="51">
        <f>STDEV(G81:G95,O81:Z95)</f>
        <v>16.818897792396076</v>
      </c>
    </row>
    <row r="97" spans="1:15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5.75" customHeight="1" x14ac:dyDescent="0.35">
      <c r="A98" s="2" t="s">
        <v>0</v>
      </c>
      <c r="B98" s="3"/>
      <c r="C98" s="1">
        <v>1350.2186999999999</v>
      </c>
      <c r="D98" s="2" t="s">
        <v>1</v>
      </c>
      <c r="E98" s="3"/>
      <c r="F98" s="1">
        <f>C98/2</f>
        <v>675.10934999999995</v>
      </c>
      <c r="G98" s="4" t="s">
        <v>2</v>
      </c>
      <c r="H98" s="30">
        <v>0.997</v>
      </c>
      <c r="I98" s="4" t="s">
        <v>3</v>
      </c>
      <c r="J98" s="4"/>
      <c r="K98" s="4"/>
      <c r="L98" s="4"/>
      <c r="M98" s="4"/>
      <c r="N98" s="4"/>
      <c r="O98" s="4"/>
    </row>
    <row r="99" spans="1:15" ht="15.75" customHeight="1" x14ac:dyDescent="0.35">
      <c r="A99" s="29" t="s">
        <v>30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.75" customHeight="1" x14ac:dyDescent="0.35">
      <c r="A100" s="10" t="s">
        <v>7</v>
      </c>
      <c r="B100" s="10" t="s">
        <v>8</v>
      </c>
      <c r="C100" s="10" t="s">
        <v>9</v>
      </c>
      <c r="D100" s="10" t="s">
        <v>10</v>
      </c>
      <c r="E100" s="10" t="s">
        <v>29</v>
      </c>
      <c r="F100" s="10" t="s">
        <v>12</v>
      </c>
      <c r="G100" s="10" t="s">
        <v>13</v>
      </c>
      <c r="H100" s="4"/>
      <c r="I100" s="10" t="s">
        <v>7</v>
      </c>
      <c r="J100" s="10" t="s">
        <v>8</v>
      </c>
      <c r="K100" s="10" t="s">
        <v>9</v>
      </c>
      <c r="L100" s="10" t="s">
        <v>10</v>
      </c>
      <c r="M100" s="10" t="s">
        <v>29</v>
      </c>
      <c r="N100" s="10" t="s">
        <v>12</v>
      </c>
      <c r="O100" s="10" t="s">
        <v>13</v>
      </c>
    </row>
    <row r="101" spans="1:15" ht="15.75" customHeight="1" x14ac:dyDescent="0.35">
      <c r="A101" s="1">
        <v>1</v>
      </c>
      <c r="B101" s="37">
        <v>1.1000000000000001E-3</v>
      </c>
      <c r="C101" s="38">
        <v>6.9999999999999999E-4</v>
      </c>
      <c r="D101" s="38">
        <f t="shared" ref="D101:D115" si="20">B101-C101</f>
        <v>4.0000000000000007E-4</v>
      </c>
      <c r="E101" s="54">
        <f>F98*0.0001</f>
        <v>6.7510934999999994E-2</v>
      </c>
      <c r="F101" s="52">
        <f>4/3*3.14*E101^3</f>
        <v>1.2882221231580017E-3</v>
      </c>
      <c r="G101" s="56">
        <f t="shared" ref="G101:G115" si="21">(D101/($H$78*$F$101))*100</f>
        <v>31.143977705410791</v>
      </c>
      <c r="H101" s="4"/>
      <c r="I101" s="1">
        <v>16</v>
      </c>
      <c r="J101" s="38">
        <v>1.2999999999999999E-3</v>
      </c>
      <c r="K101" s="38">
        <v>5.0000000000000001E-4</v>
      </c>
      <c r="L101" s="38">
        <f t="shared" ref="L101:L115" si="22">J101-K101</f>
        <v>7.9999999999999993E-4</v>
      </c>
      <c r="M101" s="54">
        <f>F98*0.0001</f>
        <v>6.7510934999999994E-2</v>
      </c>
      <c r="N101" s="52">
        <f>4/3*3.14*M101^3</f>
        <v>1.2882221231580017E-3</v>
      </c>
      <c r="O101" s="56">
        <f t="shared" ref="O101:O115" si="23">(L101/($H$78*$F$101))*100</f>
        <v>62.28795541082156</v>
      </c>
    </row>
    <row r="102" spans="1:15" ht="15.75" customHeight="1" x14ac:dyDescent="0.35">
      <c r="A102" s="1">
        <v>2</v>
      </c>
      <c r="B102" s="38">
        <v>1.4E-3</v>
      </c>
      <c r="C102" s="38">
        <v>5.9999999999999995E-4</v>
      </c>
      <c r="D102" s="38">
        <f t="shared" si="20"/>
        <v>8.0000000000000004E-4</v>
      </c>
      <c r="E102" s="55"/>
      <c r="F102" s="53"/>
      <c r="G102" s="56">
        <f t="shared" si="21"/>
        <v>62.287955410821574</v>
      </c>
      <c r="H102" s="4"/>
      <c r="I102" s="1">
        <v>17</v>
      </c>
      <c r="J102" s="38">
        <v>8.9999999999999998E-4</v>
      </c>
      <c r="K102" s="38">
        <v>5.9999999999999995E-4</v>
      </c>
      <c r="L102" s="38">
        <f t="shared" si="22"/>
        <v>3.0000000000000003E-4</v>
      </c>
      <c r="M102" s="55"/>
      <c r="N102" s="53"/>
      <c r="O102" s="56">
        <f t="shared" si="23"/>
        <v>23.357983279058089</v>
      </c>
    </row>
    <row r="103" spans="1:15" ht="15.75" customHeight="1" x14ac:dyDescent="0.35">
      <c r="A103" s="1">
        <v>3</v>
      </c>
      <c r="B103" s="38">
        <v>1.1000000000000001E-3</v>
      </c>
      <c r="C103" s="38">
        <v>6.9999999999999999E-4</v>
      </c>
      <c r="D103" s="38">
        <f t="shared" si="20"/>
        <v>4.0000000000000007E-4</v>
      </c>
      <c r="E103" s="55"/>
      <c r="F103" s="53"/>
      <c r="G103" s="56">
        <f t="shared" si="21"/>
        <v>31.143977705410791</v>
      </c>
      <c r="H103" s="4"/>
      <c r="I103" s="1">
        <v>18</v>
      </c>
      <c r="J103" s="38">
        <v>1.1000000000000001E-3</v>
      </c>
      <c r="K103" s="38">
        <v>4.0000000000000002E-4</v>
      </c>
      <c r="L103" s="38">
        <f t="shared" si="22"/>
        <v>7.000000000000001E-4</v>
      </c>
      <c r="M103" s="55"/>
      <c r="N103" s="53"/>
      <c r="O103" s="56">
        <f t="shared" si="23"/>
        <v>54.50196098446888</v>
      </c>
    </row>
    <row r="104" spans="1:15" ht="15.75" customHeight="1" x14ac:dyDescent="0.35">
      <c r="A104" s="1">
        <v>4</v>
      </c>
      <c r="B104" s="38">
        <v>1.1999999999999999E-3</v>
      </c>
      <c r="C104" s="38">
        <v>5.9999999999999995E-4</v>
      </c>
      <c r="D104" s="38">
        <f t="shared" si="20"/>
        <v>5.9999999999999995E-4</v>
      </c>
      <c r="E104" s="55"/>
      <c r="F104" s="53"/>
      <c r="G104" s="56">
        <f t="shared" si="21"/>
        <v>46.715966558116172</v>
      </c>
      <c r="H104" s="4"/>
      <c r="I104" s="1">
        <v>19</v>
      </c>
      <c r="J104" s="38">
        <v>1.1999999999999999E-3</v>
      </c>
      <c r="K104" s="38">
        <v>5.9999999999999995E-4</v>
      </c>
      <c r="L104" s="38">
        <f t="shared" si="22"/>
        <v>5.9999999999999995E-4</v>
      </c>
      <c r="M104" s="55"/>
      <c r="N104" s="53"/>
      <c r="O104" s="56">
        <f t="shared" si="23"/>
        <v>46.715966558116172</v>
      </c>
    </row>
    <row r="105" spans="1:15" ht="15.75" customHeight="1" x14ac:dyDescent="0.35">
      <c r="A105" s="1">
        <v>5</v>
      </c>
      <c r="B105" s="38">
        <v>1.1999999999999999E-3</v>
      </c>
      <c r="C105" s="38">
        <v>4.0000000000000002E-4</v>
      </c>
      <c r="D105" s="38">
        <f t="shared" si="20"/>
        <v>7.9999999999999993E-4</v>
      </c>
      <c r="E105" s="55"/>
      <c r="F105" s="53"/>
      <c r="G105" s="56">
        <f t="shared" si="21"/>
        <v>62.28795541082156</v>
      </c>
      <c r="H105" s="4"/>
      <c r="I105" s="1">
        <v>20</v>
      </c>
      <c r="J105" s="38">
        <v>8.9999999999999998E-4</v>
      </c>
      <c r="K105" s="38">
        <v>4.0000000000000002E-4</v>
      </c>
      <c r="L105" s="38">
        <f t="shared" si="22"/>
        <v>5.0000000000000001E-4</v>
      </c>
      <c r="M105" s="55"/>
      <c r="N105" s="53"/>
      <c r="O105" s="56">
        <f t="shared" si="23"/>
        <v>38.929972131763478</v>
      </c>
    </row>
    <row r="106" spans="1:15" ht="15.75" customHeight="1" x14ac:dyDescent="0.35">
      <c r="A106" s="1">
        <v>6</v>
      </c>
      <c r="B106" s="38">
        <v>1.1999999999999999E-3</v>
      </c>
      <c r="C106" s="38">
        <v>5.0000000000000001E-4</v>
      </c>
      <c r="D106" s="38">
        <f t="shared" si="20"/>
        <v>6.9999999999999988E-4</v>
      </c>
      <c r="E106" s="55"/>
      <c r="F106" s="53"/>
      <c r="G106" s="56">
        <f t="shared" si="21"/>
        <v>54.501960984468866</v>
      </c>
      <c r="H106" s="4"/>
      <c r="I106" s="1">
        <v>21</v>
      </c>
      <c r="J106" s="38">
        <v>1.2999999999999999E-3</v>
      </c>
      <c r="K106" s="38">
        <v>5.0000000000000001E-4</v>
      </c>
      <c r="L106" s="38">
        <f t="shared" si="22"/>
        <v>7.9999999999999993E-4</v>
      </c>
      <c r="M106" s="55"/>
      <c r="N106" s="53"/>
      <c r="O106" s="56">
        <f t="shared" si="23"/>
        <v>62.28795541082156</v>
      </c>
    </row>
    <row r="107" spans="1:15" ht="15.75" customHeight="1" x14ac:dyDescent="0.35">
      <c r="A107" s="1">
        <v>7</v>
      </c>
      <c r="B107" s="38">
        <v>1.4E-3</v>
      </c>
      <c r="C107" s="38">
        <v>8.0000000000000004E-4</v>
      </c>
      <c r="D107" s="38">
        <f t="shared" si="20"/>
        <v>5.9999999999999995E-4</v>
      </c>
      <c r="E107" s="55"/>
      <c r="F107" s="53"/>
      <c r="G107" s="56">
        <f t="shared" si="21"/>
        <v>46.715966558116172</v>
      </c>
      <c r="H107" s="4"/>
      <c r="I107" s="1">
        <v>22</v>
      </c>
      <c r="J107" s="38">
        <v>1.1999999999999999E-3</v>
      </c>
      <c r="K107" s="38">
        <v>5.9999999999999995E-4</v>
      </c>
      <c r="L107" s="38">
        <f t="shared" si="22"/>
        <v>5.9999999999999995E-4</v>
      </c>
      <c r="M107" s="55"/>
      <c r="N107" s="53"/>
      <c r="O107" s="56">
        <f t="shared" si="23"/>
        <v>46.715966558116172</v>
      </c>
    </row>
    <row r="108" spans="1:15" ht="15.75" customHeight="1" x14ac:dyDescent="0.35">
      <c r="A108" s="1">
        <v>8</v>
      </c>
      <c r="B108" s="38">
        <v>1.1999999999999999E-3</v>
      </c>
      <c r="C108" s="38">
        <v>6.9999999999999999E-4</v>
      </c>
      <c r="D108" s="38">
        <f t="shared" si="20"/>
        <v>4.999999999999999E-4</v>
      </c>
      <c r="E108" s="55"/>
      <c r="F108" s="53"/>
      <c r="G108" s="56">
        <f t="shared" si="21"/>
        <v>38.929972131763471</v>
      </c>
      <c r="H108" s="4"/>
      <c r="I108" s="1">
        <v>23</v>
      </c>
      <c r="J108" s="38">
        <v>6.9999999999999999E-4</v>
      </c>
      <c r="K108" s="38">
        <v>5.0000000000000001E-4</v>
      </c>
      <c r="L108" s="38">
        <f t="shared" si="22"/>
        <v>1.9999999999999998E-4</v>
      </c>
      <c r="M108" s="55"/>
      <c r="N108" s="53"/>
      <c r="O108" s="56">
        <f t="shared" si="23"/>
        <v>15.57198885270539</v>
      </c>
    </row>
    <row r="109" spans="1:15" ht="15.75" customHeight="1" x14ac:dyDescent="0.35">
      <c r="A109" s="1">
        <v>9</v>
      </c>
      <c r="B109" s="38">
        <v>1.1000000000000001E-3</v>
      </c>
      <c r="C109" s="38">
        <v>5.0000000000000001E-4</v>
      </c>
      <c r="D109" s="38">
        <f t="shared" si="20"/>
        <v>6.0000000000000006E-4</v>
      </c>
      <c r="E109" s="55"/>
      <c r="F109" s="53"/>
      <c r="G109" s="56">
        <f t="shared" si="21"/>
        <v>46.715966558116179</v>
      </c>
      <c r="H109" s="4"/>
      <c r="I109" s="1">
        <v>24</v>
      </c>
      <c r="J109" s="38">
        <v>1.1000000000000001E-3</v>
      </c>
      <c r="K109" s="38">
        <v>2.9999999999999997E-4</v>
      </c>
      <c r="L109" s="38">
        <f t="shared" si="22"/>
        <v>8.0000000000000015E-4</v>
      </c>
      <c r="M109" s="55"/>
      <c r="N109" s="53"/>
      <c r="O109" s="56">
        <f t="shared" si="23"/>
        <v>62.287955410821581</v>
      </c>
    </row>
    <row r="110" spans="1:15" ht="15.75" customHeight="1" x14ac:dyDescent="0.35">
      <c r="A110" s="1">
        <v>10</v>
      </c>
      <c r="B110" s="38">
        <v>1.8E-3</v>
      </c>
      <c r="C110" s="38">
        <v>8.0000000000000004E-4</v>
      </c>
      <c r="D110" s="38">
        <f t="shared" si="20"/>
        <v>1E-3</v>
      </c>
      <c r="E110" s="55"/>
      <c r="F110" s="53"/>
      <c r="G110" s="56">
        <f t="shared" si="21"/>
        <v>77.859944263526955</v>
      </c>
      <c r="H110" s="4"/>
      <c r="I110" s="1">
        <v>25</v>
      </c>
      <c r="J110" s="38">
        <v>1.1000000000000001E-3</v>
      </c>
      <c r="K110" s="38">
        <v>4.0000000000000002E-4</v>
      </c>
      <c r="L110" s="38">
        <f t="shared" si="22"/>
        <v>7.000000000000001E-4</v>
      </c>
      <c r="M110" s="55"/>
      <c r="N110" s="53"/>
      <c r="O110" s="56">
        <f t="shared" si="23"/>
        <v>54.50196098446888</v>
      </c>
    </row>
    <row r="111" spans="1:15" ht="15.75" customHeight="1" x14ac:dyDescent="0.35">
      <c r="A111" s="1">
        <v>11</v>
      </c>
      <c r="B111" s="38">
        <v>1.2999999999999999E-3</v>
      </c>
      <c r="C111" s="38">
        <v>4.0000000000000002E-4</v>
      </c>
      <c r="D111" s="38">
        <f t="shared" si="20"/>
        <v>8.9999999999999998E-4</v>
      </c>
      <c r="E111" s="55"/>
      <c r="F111" s="53"/>
      <c r="G111" s="56">
        <f t="shared" si="21"/>
        <v>70.073949837174268</v>
      </c>
      <c r="H111" s="4"/>
      <c r="I111" s="1">
        <v>26</v>
      </c>
      <c r="J111" s="38">
        <v>1.1999999999999999E-3</v>
      </c>
      <c r="K111" s="38">
        <v>6.9999999999999999E-4</v>
      </c>
      <c r="L111" s="38">
        <f t="shared" si="22"/>
        <v>4.999999999999999E-4</v>
      </c>
      <c r="M111" s="55"/>
      <c r="N111" s="53"/>
      <c r="O111" s="56">
        <f t="shared" si="23"/>
        <v>38.929972131763471</v>
      </c>
    </row>
    <row r="112" spans="1:15" ht="15.75" customHeight="1" x14ac:dyDescent="0.35">
      <c r="A112" s="1">
        <v>12</v>
      </c>
      <c r="B112" s="38">
        <v>1E-3</v>
      </c>
      <c r="C112" s="38">
        <v>8.9999999999999998E-4</v>
      </c>
      <c r="D112" s="38">
        <f t="shared" si="20"/>
        <v>1.0000000000000005E-4</v>
      </c>
      <c r="E112" s="55"/>
      <c r="F112" s="53"/>
      <c r="G112" s="56">
        <f t="shared" si="21"/>
        <v>7.7859944263526994</v>
      </c>
      <c r="H112" s="4"/>
      <c r="I112" s="1">
        <v>27</v>
      </c>
      <c r="J112" s="38">
        <v>1.2999999999999999E-3</v>
      </c>
      <c r="K112" s="38">
        <v>6.9999999999999999E-4</v>
      </c>
      <c r="L112" s="38">
        <f t="shared" si="22"/>
        <v>5.9999999999999995E-4</v>
      </c>
      <c r="M112" s="55"/>
      <c r="N112" s="53"/>
      <c r="O112" s="56">
        <f t="shared" si="23"/>
        <v>46.715966558116172</v>
      </c>
    </row>
    <row r="113" spans="1:15" ht="15.75" customHeight="1" x14ac:dyDescent="0.35">
      <c r="A113" s="1">
        <v>13</v>
      </c>
      <c r="B113" s="38">
        <v>1.1999999999999999E-3</v>
      </c>
      <c r="C113" s="38">
        <v>6.9999999999999999E-4</v>
      </c>
      <c r="D113" s="38">
        <f t="shared" si="20"/>
        <v>4.999999999999999E-4</v>
      </c>
      <c r="E113" s="55"/>
      <c r="F113" s="53"/>
      <c r="G113" s="56">
        <f t="shared" si="21"/>
        <v>38.929972131763471</v>
      </c>
      <c r="H113" s="4"/>
      <c r="I113" s="1">
        <v>28</v>
      </c>
      <c r="J113" s="38">
        <v>5.0000000000000001E-4</v>
      </c>
      <c r="K113" s="38">
        <v>5.0000000000000001E-4</v>
      </c>
      <c r="L113" s="38">
        <f t="shared" si="22"/>
        <v>0</v>
      </c>
      <c r="M113" s="55"/>
      <c r="N113" s="53"/>
      <c r="O113" s="56">
        <f t="shared" si="23"/>
        <v>0</v>
      </c>
    </row>
    <row r="114" spans="1:15" ht="15.75" customHeight="1" x14ac:dyDescent="0.35">
      <c r="A114" s="1">
        <v>14</v>
      </c>
      <c r="B114" s="38">
        <v>1.1999999999999999E-3</v>
      </c>
      <c r="C114" s="38">
        <v>4.0000000000000002E-4</v>
      </c>
      <c r="D114" s="38">
        <f t="shared" si="20"/>
        <v>7.9999999999999993E-4</v>
      </c>
      <c r="E114" s="55"/>
      <c r="F114" s="53"/>
      <c r="G114" s="56">
        <f t="shared" si="21"/>
        <v>62.28795541082156</v>
      </c>
      <c r="H114" s="4"/>
      <c r="I114" s="1">
        <v>29</v>
      </c>
      <c r="J114" s="38">
        <v>1E-3</v>
      </c>
      <c r="K114" s="38">
        <v>8.0000000000000004E-4</v>
      </c>
      <c r="L114" s="38">
        <f t="shared" si="22"/>
        <v>1.9999999999999998E-4</v>
      </c>
      <c r="M114" s="55"/>
      <c r="N114" s="53"/>
      <c r="O114" s="56">
        <f t="shared" si="23"/>
        <v>15.57198885270539</v>
      </c>
    </row>
    <row r="115" spans="1:15" ht="15.75" customHeight="1" x14ac:dyDescent="0.35">
      <c r="A115" s="1">
        <v>15</v>
      </c>
      <c r="B115" s="38">
        <v>1.4E-3</v>
      </c>
      <c r="C115" s="38">
        <v>5.9999999999999995E-4</v>
      </c>
      <c r="D115" s="38">
        <f t="shared" si="20"/>
        <v>8.0000000000000004E-4</v>
      </c>
      <c r="E115" s="55"/>
      <c r="F115" s="53"/>
      <c r="G115" s="56">
        <f t="shared" si="21"/>
        <v>62.287955410821574</v>
      </c>
      <c r="H115" s="4"/>
      <c r="I115" s="1">
        <v>30</v>
      </c>
      <c r="J115" s="38">
        <v>1.2999999999999999E-3</v>
      </c>
      <c r="K115" s="38">
        <v>2.9999999999999997E-4</v>
      </c>
      <c r="L115" s="38">
        <f t="shared" si="22"/>
        <v>1E-3</v>
      </c>
      <c r="M115" s="55"/>
      <c r="N115" s="53"/>
      <c r="O115" s="56">
        <f t="shared" si="23"/>
        <v>77.859944263526955</v>
      </c>
    </row>
    <row r="116" spans="1:15" ht="15.75" customHeight="1" x14ac:dyDescent="0.35">
      <c r="A116" s="26" t="s">
        <v>22</v>
      </c>
      <c r="B116" s="3"/>
      <c r="C116" s="3"/>
      <c r="D116" s="3"/>
      <c r="E116" s="3"/>
      <c r="F116" s="3"/>
      <c r="G116" s="51">
        <f>AVERAGE(G101:G115,O101:O115)</f>
        <v>46.196900263025995</v>
      </c>
      <c r="H116" s="35"/>
      <c r="I116" s="26" t="s">
        <v>23</v>
      </c>
      <c r="J116" s="3"/>
      <c r="K116" s="3"/>
      <c r="L116" s="3"/>
      <c r="M116" s="3"/>
      <c r="N116" s="3"/>
      <c r="O116" s="51">
        <f>STDEV(G101:G115,O101:Z115)</f>
        <v>19.711326183954576</v>
      </c>
    </row>
    <row r="117" spans="1:15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5.75" customHeight="1" x14ac:dyDescent="0.35">
      <c r="A118" s="2" t="s">
        <v>0</v>
      </c>
      <c r="B118" s="3"/>
      <c r="C118" s="1">
        <v>1440.25</v>
      </c>
      <c r="D118" s="2" t="s">
        <v>1</v>
      </c>
      <c r="E118" s="3"/>
      <c r="F118" s="1">
        <f>C118/2</f>
        <v>720.125</v>
      </c>
      <c r="G118" s="4" t="s">
        <v>2</v>
      </c>
      <c r="H118" s="30">
        <v>0.997</v>
      </c>
      <c r="I118" s="4" t="s">
        <v>3</v>
      </c>
      <c r="J118" s="4"/>
      <c r="K118" s="4"/>
      <c r="L118" s="4"/>
      <c r="M118" s="4"/>
      <c r="N118" s="4"/>
      <c r="O118" s="4"/>
    </row>
    <row r="119" spans="1:15" ht="15.75" customHeight="1" x14ac:dyDescent="0.35">
      <c r="A119" s="39" t="s">
        <v>31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.75" customHeight="1" x14ac:dyDescent="0.35">
      <c r="A120" s="10" t="s">
        <v>7</v>
      </c>
      <c r="B120" s="10" t="s">
        <v>8</v>
      </c>
      <c r="C120" s="10" t="s">
        <v>9</v>
      </c>
      <c r="D120" s="10" t="s">
        <v>10</v>
      </c>
      <c r="E120" s="10" t="s">
        <v>29</v>
      </c>
      <c r="F120" s="10" t="s">
        <v>12</v>
      </c>
      <c r="G120" s="10" t="s">
        <v>13</v>
      </c>
      <c r="H120" s="4"/>
      <c r="I120" s="10" t="s">
        <v>7</v>
      </c>
      <c r="J120" s="10" t="s">
        <v>8</v>
      </c>
      <c r="K120" s="10" t="s">
        <v>9</v>
      </c>
      <c r="L120" s="10" t="s">
        <v>10</v>
      </c>
      <c r="M120" s="10" t="s">
        <v>29</v>
      </c>
      <c r="N120" s="10" t="s">
        <v>12</v>
      </c>
      <c r="O120" s="10" t="s">
        <v>13</v>
      </c>
    </row>
    <row r="121" spans="1:15" ht="15.75" customHeight="1" x14ac:dyDescent="0.35">
      <c r="A121" s="1">
        <v>1</v>
      </c>
      <c r="B121" s="1">
        <v>2E-3</v>
      </c>
      <c r="C121" s="1">
        <v>2.8999999999999998E-3</v>
      </c>
      <c r="D121" s="40">
        <f>-B121+C121</f>
        <v>8.9999999999999976E-4</v>
      </c>
      <c r="E121" s="45">
        <f>F118*0.0001</f>
        <v>7.2012500000000007E-2</v>
      </c>
      <c r="F121" s="42">
        <f>4/3*3.14*E121^3</f>
        <v>1.5634789893081774E-3</v>
      </c>
      <c r="G121" s="49">
        <f t="shared" ref="G121:G135" si="24">(D121/($H$38*$F$41))*100</f>
        <v>41.163108357915142</v>
      </c>
      <c r="H121" s="4"/>
      <c r="I121" s="1">
        <v>16</v>
      </c>
      <c r="J121" s="40">
        <v>6.9999999999999999E-4</v>
      </c>
      <c r="K121" s="40">
        <v>2.0000000000000001E-4</v>
      </c>
      <c r="L121" s="40">
        <f t="shared" ref="L121:L128" si="25">J121-K121</f>
        <v>5.0000000000000001E-4</v>
      </c>
      <c r="M121" s="54">
        <f>F118*0.0001</f>
        <v>7.2012500000000007E-2</v>
      </c>
      <c r="N121" s="52">
        <f>4/3*3.14*M121^3</f>
        <v>1.5634789893081774E-3</v>
      </c>
      <c r="O121" s="56">
        <f t="shared" ref="O121:O135" si="26">(L121/($H$78*$F$101))*100</f>
        <v>38.929972131763478</v>
      </c>
    </row>
    <row r="122" spans="1:15" ht="15.75" customHeight="1" x14ac:dyDescent="0.35">
      <c r="A122" s="1">
        <v>2</v>
      </c>
      <c r="B122" s="1">
        <v>1.1000000000000001E-3</v>
      </c>
      <c r="C122" s="1">
        <v>6.9999999999999999E-4</v>
      </c>
      <c r="D122" s="40">
        <f t="shared" ref="D122:D135" si="27">B122-C122</f>
        <v>4.0000000000000007E-4</v>
      </c>
      <c r="E122" s="46"/>
      <c r="F122" s="43"/>
      <c r="G122" s="49">
        <f t="shared" si="24"/>
        <v>18.294714825740073</v>
      </c>
      <c r="H122" s="4"/>
      <c r="I122" s="1">
        <v>17</v>
      </c>
      <c r="J122" s="40">
        <v>1.6999999999999999E-3</v>
      </c>
      <c r="K122" s="40">
        <v>1.1000000000000001E-3</v>
      </c>
      <c r="L122" s="40">
        <f t="shared" si="25"/>
        <v>5.9999999999999984E-4</v>
      </c>
      <c r="M122" s="55"/>
      <c r="N122" s="53"/>
      <c r="O122" s="56">
        <f t="shared" si="26"/>
        <v>46.715966558116165</v>
      </c>
    </row>
    <row r="123" spans="1:15" ht="15.75" customHeight="1" x14ac:dyDescent="0.35">
      <c r="A123" s="1">
        <v>3</v>
      </c>
      <c r="B123" s="1">
        <v>1.6999999999999999E-3</v>
      </c>
      <c r="C123" s="1">
        <v>5.9999999999999995E-4</v>
      </c>
      <c r="D123" s="40">
        <f t="shared" si="27"/>
        <v>1.0999999999999998E-3</v>
      </c>
      <c r="E123" s="46"/>
      <c r="F123" s="43"/>
      <c r="G123" s="49">
        <f t="shared" si="24"/>
        <v>50.310465770785171</v>
      </c>
      <c r="H123" s="4"/>
      <c r="I123" s="1">
        <v>18</v>
      </c>
      <c r="J123" s="40">
        <v>1.5E-3</v>
      </c>
      <c r="K123" s="40">
        <v>4.0000000000000002E-4</v>
      </c>
      <c r="L123" s="40">
        <f t="shared" si="25"/>
        <v>1.1000000000000001E-3</v>
      </c>
      <c r="M123" s="55"/>
      <c r="N123" s="53"/>
      <c r="O123" s="56">
        <f t="shared" si="26"/>
        <v>85.645938689879671</v>
      </c>
    </row>
    <row r="124" spans="1:15" ht="15.75" customHeight="1" x14ac:dyDescent="0.35">
      <c r="A124" s="1">
        <v>4</v>
      </c>
      <c r="B124" s="1">
        <v>1.4E-3</v>
      </c>
      <c r="C124" s="1">
        <v>1.1999999999999999E-3</v>
      </c>
      <c r="D124" s="40">
        <f t="shared" si="27"/>
        <v>2.0000000000000009E-4</v>
      </c>
      <c r="E124" s="46"/>
      <c r="F124" s="43"/>
      <c r="G124" s="48">
        <f t="shared" si="24"/>
        <v>9.1473574128700363</v>
      </c>
      <c r="H124" s="4"/>
      <c r="I124" s="1">
        <v>19</v>
      </c>
      <c r="J124" s="40">
        <v>1.5E-3</v>
      </c>
      <c r="K124" s="40">
        <v>8.9999999999999998E-4</v>
      </c>
      <c r="L124" s="40">
        <f t="shared" si="25"/>
        <v>6.0000000000000006E-4</v>
      </c>
      <c r="M124" s="55"/>
      <c r="N124" s="53"/>
      <c r="O124" s="56">
        <f t="shared" si="26"/>
        <v>46.715966558116179</v>
      </c>
    </row>
    <row r="125" spans="1:15" ht="15.75" customHeight="1" x14ac:dyDescent="0.35">
      <c r="A125" s="1">
        <v>5</v>
      </c>
      <c r="B125" s="1">
        <v>1.2999999999999999E-3</v>
      </c>
      <c r="C125" s="1">
        <v>5.9999999999999995E-4</v>
      </c>
      <c r="D125" s="40">
        <f t="shared" si="27"/>
        <v>6.9999999999999999E-4</v>
      </c>
      <c r="E125" s="46"/>
      <c r="F125" s="43"/>
      <c r="G125" s="49">
        <f t="shared" si="24"/>
        <v>32.01575094504512</v>
      </c>
      <c r="H125" s="4"/>
      <c r="I125" s="1">
        <v>20</v>
      </c>
      <c r="J125" s="40">
        <v>1.6999999999999999E-3</v>
      </c>
      <c r="K125" s="40">
        <v>6.9999999999999999E-4</v>
      </c>
      <c r="L125" s="40">
        <f t="shared" si="25"/>
        <v>1E-3</v>
      </c>
      <c r="M125" s="55"/>
      <c r="N125" s="53"/>
      <c r="O125" s="56">
        <f t="shared" si="26"/>
        <v>77.859944263526955</v>
      </c>
    </row>
    <row r="126" spans="1:15" ht="15.75" customHeight="1" x14ac:dyDescent="0.35">
      <c r="A126" s="1">
        <v>6</v>
      </c>
      <c r="B126" s="1">
        <v>1.6999999999999999E-3</v>
      </c>
      <c r="C126" s="1">
        <v>1.1999999999999999E-3</v>
      </c>
      <c r="D126" s="40">
        <f t="shared" si="27"/>
        <v>5.0000000000000001E-4</v>
      </c>
      <c r="E126" s="46"/>
      <c r="F126" s="43"/>
      <c r="G126" s="49">
        <f t="shared" si="24"/>
        <v>22.868393532175084</v>
      </c>
      <c r="H126" s="4"/>
      <c r="I126" s="1">
        <v>21</v>
      </c>
      <c r="J126" s="40">
        <v>1.8E-3</v>
      </c>
      <c r="K126" s="40">
        <v>4.0000000000000002E-4</v>
      </c>
      <c r="L126" s="40">
        <f t="shared" si="25"/>
        <v>1.4E-3</v>
      </c>
      <c r="M126" s="55"/>
      <c r="N126" s="53"/>
      <c r="O126" s="56">
        <f t="shared" si="26"/>
        <v>109.00392196893773</v>
      </c>
    </row>
    <row r="127" spans="1:15" ht="15.75" customHeight="1" x14ac:dyDescent="0.35">
      <c r="A127" s="1">
        <v>7</v>
      </c>
      <c r="B127" s="1">
        <v>2E-3</v>
      </c>
      <c r="C127" s="1">
        <v>1.1000000000000001E-3</v>
      </c>
      <c r="D127" s="40">
        <f t="shared" si="27"/>
        <v>8.9999999999999998E-4</v>
      </c>
      <c r="E127" s="46"/>
      <c r="F127" s="43"/>
      <c r="G127" s="49">
        <f t="shared" si="24"/>
        <v>41.163108357915149</v>
      </c>
      <c r="H127" s="4"/>
      <c r="I127" s="1">
        <v>22</v>
      </c>
      <c r="J127" s="40">
        <v>1.9E-3</v>
      </c>
      <c r="K127" s="40">
        <v>1.2999999999999999E-3</v>
      </c>
      <c r="L127" s="40">
        <f t="shared" si="25"/>
        <v>6.0000000000000006E-4</v>
      </c>
      <c r="M127" s="55"/>
      <c r="N127" s="53"/>
      <c r="O127" s="56">
        <f t="shared" si="26"/>
        <v>46.715966558116179</v>
      </c>
    </row>
    <row r="128" spans="1:15" ht="15.75" customHeight="1" x14ac:dyDescent="0.35">
      <c r="A128" s="1">
        <v>8</v>
      </c>
      <c r="B128" s="1">
        <v>1.1999999999999999E-3</v>
      </c>
      <c r="C128" s="1">
        <v>4.0000000000000002E-4</v>
      </c>
      <c r="D128" s="40">
        <f t="shared" si="27"/>
        <v>7.9999999999999993E-4</v>
      </c>
      <c r="E128" s="46"/>
      <c r="F128" s="43"/>
      <c r="G128" s="49">
        <f t="shared" si="24"/>
        <v>36.589429651480131</v>
      </c>
      <c r="H128" s="4"/>
      <c r="I128" s="1">
        <v>23</v>
      </c>
      <c r="J128" s="40">
        <v>1.8E-3</v>
      </c>
      <c r="K128" s="40">
        <v>1E-3</v>
      </c>
      <c r="L128" s="40">
        <f t="shared" si="25"/>
        <v>7.9999999999999993E-4</v>
      </c>
      <c r="M128" s="55"/>
      <c r="N128" s="53"/>
      <c r="O128" s="56">
        <f t="shared" si="26"/>
        <v>62.28795541082156</v>
      </c>
    </row>
    <row r="129" spans="1:15" ht="15.75" customHeight="1" x14ac:dyDescent="0.35">
      <c r="A129" s="1">
        <v>9</v>
      </c>
      <c r="B129" s="1">
        <v>1.8E-3</v>
      </c>
      <c r="C129" s="1">
        <v>5.9999999999999995E-4</v>
      </c>
      <c r="D129" s="40">
        <f t="shared" si="27"/>
        <v>1.2000000000000001E-3</v>
      </c>
      <c r="E129" s="46"/>
      <c r="F129" s="43"/>
      <c r="G129" s="49">
        <f t="shared" si="24"/>
        <v>54.884144477220211</v>
      </c>
      <c r="H129" s="4"/>
      <c r="I129" s="1">
        <v>24</v>
      </c>
      <c r="J129" s="40">
        <v>1.2999999999999999E-3</v>
      </c>
      <c r="K129" s="40">
        <v>2.2000000000000001E-3</v>
      </c>
      <c r="L129" s="40">
        <f>-J129+K129</f>
        <v>9.0000000000000019E-4</v>
      </c>
      <c r="M129" s="55"/>
      <c r="N129" s="53"/>
      <c r="O129" s="56">
        <f t="shared" si="26"/>
        <v>70.073949837174283</v>
      </c>
    </row>
    <row r="130" spans="1:15" ht="15.75" customHeight="1" x14ac:dyDescent="0.35">
      <c r="A130" s="1">
        <v>10</v>
      </c>
      <c r="B130" s="1">
        <v>1.8E-3</v>
      </c>
      <c r="C130" s="1">
        <v>8.0000000000000004E-4</v>
      </c>
      <c r="D130" s="40">
        <f t="shared" si="27"/>
        <v>1E-3</v>
      </c>
      <c r="E130" s="46"/>
      <c r="F130" s="43"/>
      <c r="G130" s="49">
        <f t="shared" si="24"/>
        <v>45.736787064350167</v>
      </c>
      <c r="H130" s="4"/>
      <c r="I130" s="1">
        <v>25</v>
      </c>
      <c r="J130" s="40">
        <v>2E-3</v>
      </c>
      <c r="K130" s="40">
        <v>6.9999999999999999E-4</v>
      </c>
      <c r="L130" s="40">
        <f t="shared" ref="L130:L135" si="28">J130-K130</f>
        <v>1.2999999999999999E-3</v>
      </c>
      <c r="M130" s="55"/>
      <c r="N130" s="53"/>
      <c r="O130" s="56">
        <f t="shared" si="26"/>
        <v>101.21792754258504</v>
      </c>
    </row>
    <row r="131" spans="1:15" ht="15.75" customHeight="1" x14ac:dyDescent="0.35">
      <c r="A131" s="1">
        <v>11</v>
      </c>
      <c r="B131" s="1">
        <v>2.0999999999999999E-3</v>
      </c>
      <c r="C131" s="1">
        <v>8.0000000000000004E-4</v>
      </c>
      <c r="D131" s="40">
        <f t="shared" si="27"/>
        <v>1.2999999999999999E-3</v>
      </c>
      <c r="E131" s="46"/>
      <c r="F131" s="43"/>
      <c r="G131" s="49">
        <f t="shared" si="24"/>
        <v>59.457823183655215</v>
      </c>
      <c r="H131" s="4"/>
      <c r="I131" s="1">
        <v>26</v>
      </c>
      <c r="J131" s="40">
        <v>1.2999999999999999E-3</v>
      </c>
      <c r="K131" s="40">
        <v>5.9999999999999995E-4</v>
      </c>
      <c r="L131" s="40">
        <f t="shared" si="28"/>
        <v>6.9999999999999999E-4</v>
      </c>
      <c r="M131" s="55"/>
      <c r="N131" s="53"/>
      <c r="O131" s="56">
        <f t="shared" si="26"/>
        <v>54.501960984468866</v>
      </c>
    </row>
    <row r="132" spans="1:15" ht="15.75" customHeight="1" x14ac:dyDescent="0.35">
      <c r="A132" s="1">
        <v>12</v>
      </c>
      <c r="B132" s="1">
        <v>1.8E-3</v>
      </c>
      <c r="C132" s="1">
        <v>8.0000000000000004E-4</v>
      </c>
      <c r="D132" s="40">
        <f t="shared" si="27"/>
        <v>1E-3</v>
      </c>
      <c r="E132" s="46"/>
      <c r="F132" s="43"/>
      <c r="G132" s="49">
        <f t="shared" si="24"/>
        <v>45.736787064350167</v>
      </c>
      <c r="H132" s="4"/>
      <c r="I132" s="1">
        <v>27</v>
      </c>
      <c r="J132" s="40">
        <v>1.6999999999999999E-3</v>
      </c>
      <c r="K132" s="40">
        <v>8.0000000000000004E-4</v>
      </c>
      <c r="L132" s="40">
        <f t="shared" si="28"/>
        <v>8.9999999999999987E-4</v>
      </c>
      <c r="M132" s="55"/>
      <c r="N132" s="53"/>
      <c r="O132" s="56">
        <f t="shared" si="26"/>
        <v>70.073949837174254</v>
      </c>
    </row>
    <row r="133" spans="1:15" ht="15.75" customHeight="1" x14ac:dyDescent="0.35">
      <c r="A133" s="1">
        <v>13</v>
      </c>
      <c r="B133" s="1">
        <v>1.5E-3</v>
      </c>
      <c r="C133" s="1">
        <v>2.9999999999999997E-4</v>
      </c>
      <c r="D133" s="40">
        <f t="shared" si="27"/>
        <v>1.2000000000000001E-3</v>
      </c>
      <c r="E133" s="46"/>
      <c r="F133" s="43"/>
      <c r="G133" s="49">
        <f t="shared" si="24"/>
        <v>54.884144477220211</v>
      </c>
      <c r="H133" s="4"/>
      <c r="I133" s="1">
        <v>28</v>
      </c>
      <c r="J133" s="40">
        <v>1.9E-3</v>
      </c>
      <c r="K133" s="40">
        <v>1.2999999999999999E-3</v>
      </c>
      <c r="L133" s="40">
        <f t="shared" si="28"/>
        <v>6.0000000000000006E-4</v>
      </c>
      <c r="M133" s="55"/>
      <c r="N133" s="53"/>
      <c r="O133" s="56">
        <f t="shared" si="26"/>
        <v>46.715966558116179</v>
      </c>
    </row>
    <row r="134" spans="1:15" ht="15.75" customHeight="1" x14ac:dyDescent="0.35">
      <c r="A134" s="1">
        <v>14</v>
      </c>
      <c r="B134" s="1">
        <v>2E-3</v>
      </c>
      <c r="C134" s="1">
        <v>1E-3</v>
      </c>
      <c r="D134" s="40">
        <f t="shared" si="27"/>
        <v>1E-3</v>
      </c>
      <c r="E134" s="46"/>
      <c r="F134" s="43"/>
      <c r="G134" s="49">
        <f t="shared" si="24"/>
        <v>45.736787064350167</v>
      </c>
      <c r="H134" s="4"/>
      <c r="I134" s="1">
        <v>29</v>
      </c>
      <c r="J134" s="40">
        <v>1.1999999999999999E-3</v>
      </c>
      <c r="K134" s="40">
        <v>2.9999999999999997E-4</v>
      </c>
      <c r="L134" s="40">
        <f t="shared" si="28"/>
        <v>8.9999999999999998E-4</v>
      </c>
      <c r="M134" s="55"/>
      <c r="N134" s="53"/>
      <c r="O134" s="56">
        <f t="shared" si="26"/>
        <v>70.073949837174268</v>
      </c>
    </row>
    <row r="135" spans="1:15" ht="15.75" customHeight="1" x14ac:dyDescent="0.35">
      <c r="A135" s="1">
        <v>15</v>
      </c>
      <c r="B135" s="1">
        <v>1.6999999999999999E-3</v>
      </c>
      <c r="C135" s="1">
        <v>6.9999999999999999E-4</v>
      </c>
      <c r="D135" s="40">
        <f t="shared" si="27"/>
        <v>1E-3</v>
      </c>
      <c r="E135" s="47"/>
      <c r="F135" s="44"/>
      <c r="G135" s="49">
        <f t="shared" si="24"/>
        <v>45.736787064350167</v>
      </c>
      <c r="H135" s="4"/>
      <c r="I135" s="1">
        <v>30</v>
      </c>
      <c r="J135" s="40">
        <v>1.8E-3</v>
      </c>
      <c r="K135" s="40">
        <v>8.9999999999999998E-4</v>
      </c>
      <c r="L135" s="40">
        <f t="shared" si="28"/>
        <v>8.9999999999999998E-4</v>
      </c>
      <c r="M135" s="55"/>
      <c r="N135" s="53"/>
      <c r="O135" s="56">
        <f t="shared" si="26"/>
        <v>70.073949837174268</v>
      </c>
    </row>
    <row r="136" spans="1:15" ht="15.75" customHeight="1" x14ac:dyDescent="0.55000000000000004">
      <c r="A136" s="26" t="s">
        <v>22</v>
      </c>
      <c r="B136" s="3"/>
      <c r="C136" s="3"/>
      <c r="D136" s="3"/>
      <c r="E136" s="3"/>
      <c r="F136" s="3"/>
      <c r="G136" s="51">
        <f>AVERAGE(G121:G135,O121:O135)</f>
        <v>53.344429194085585</v>
      </c>
      <c r="H136" s="41"/>
      <c r="I136" s="26" t="s">
        <v>23</v>
      </c>
      <c r="J136" s="3"/>
      <c r="K136" s="3"/>
      <c r="L136" s="3"/>
      <c r="M136" s="3"/>
      <c r="N136" s="3"/>
      <c r="O136" s="51">
        <f>STDEV(G121:G135,O121:Z135)</f>
        <v>22.006656126694814</v>
      </c>
    </row>
    <row r="137" spans="1:15" ht="15.75" customHeight="1" x14ac:dyDescent="0.35">
      <c r="A137" s="1"/>
      <c r="B137" s="1"/>
      <c r="C137" s="1"/>
      <c r="D137" s="1"/>
      <c r="E137" s="1"/>
      <c r="F137" s="1"/>
      <c r="G137" s="1"/>
    </row>
    <row r="138" spans="1:15" ht="15.75" customHeight="1" x14ac:dyDescent="0.35">
      <c r="A138" s="2" t="s">
        <v>0</v>
      </c>
      <c r="B138" s="3"/>
      <c r="C138" s="1">
        <v>1452.65</v>
      </c>
      <c r="D138" s="2" t="s">
        <v>1</v>
      </c>
      <c r="E138" s="3"/>
      <c r="F138" s="1">
        <f>C138/2</f>
        <v>726.32500000000005</v>
      </c>
      <c r="G138" s="4" t="s">
        <v>2</v>
      </c>
      <c r="H138" s="30">
        <v>0.997</v>
      </c>
      <c r="I138" s="4" t="s">
        <v>3</v>
      </c>
      <c r="J138" s="4"/>
      <c r="K138" s="4"/>
      <c r="L138" s="4"/>
      <c r="M138" s="4"/>
      <c r="N138" s="4"/>
      <c r="O138" s="4"/>
    </row>
    <row r="139" spans="1:15" ht="15.75" customHeight="1" x14ac:dyDescent="0.35">
      <c r="A139" s="29" t="s">
        <v>32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.75" customHeight="1" x14ac:dyDescent="0.35">
      <c r="A140" s="10" t="s">
        <v>7</v>
      </c>
      <c r="B140" s="10" t="s">
        <v>8</v>
      </c>
      <c r="C140" s="10" t="s">
        <v>9</v>
      </c>
      <c r="D140" s="10" t="s">
        <v>10</v>
      </c>
      <c r="E140" s="10" t="s">
        <v>29</v>
      </c>
      <c r="F140" s="10" t="s">
        <v>12</v>
      </c>
      <c r="G140" s="10" t="s">
        <v>13</v>
      </c>
      <c r="H140" s="4"/>
      <c r="I140" s="10" t="s">
        <v>7</v>
      </c>
      <c r="J140" s="10" t="s">
        <v>8</v>
      </c>
      <c r="K140" s="10" t="s">
        <v>9</v>
      </c>
      <c r="L140" s="10" t="s">
        <v>10</v>
      </c>
      <c r="M140" s="10" t="s">
        <v>29</v>
      </c>
      <c r="N140" s="10" t="s">
        <v>12</v>
      </c>
      <c r="O140" s="10" t="s">
        <v>13</v>
      </c>
    </row>
    <row r="141" spans="1:15" ht="15.75" customHeight="1" x14ac:dyDescent="0.35">
      <c r="A141" s="1">
        <v>1</v>
      </c>
      <c r="B141" s="1">
        <v>1.5E-3</v>
      </c>
      <c r="C141" s="40">
        <v>2.0000000000000001E-4</v>
      </c>
      <c r="D141" s="40">
        <f t="shared" ref="D141:D155" si="29">B141-C141</f>
        <v>1.2999999999999999E-3</v>
      </c>
      <c r="E141" s="45">
        <f>F138*0.0001</f>
        <v>7.2632500000000003E-2</v>
      </c>
      <c r="F141" s="42">
        <f>4/3*3.14*E141^3</f>
        <v>1.6042105310436205E-3</v>
      </c>
      <c r="G141" s="49">
        <f t="shared" ref="G141:G155" si="30">(D141/($H$38*$F$41))*100</f>
        <v>59.457823183655215</v>
      </c>
      <c r="H141" s="4"/>
      <c r="I141" s="1">
        <v>16</v>
      </c>
      <c r="J141" s="40">
        <v>1.5E-3</v>
      </c>
      <c r="K141" s="40">
        <v>1E-4</v>
      </c>
      <c r="L141" s="40">
        <f t="shared" ref="L141:L155" si="31">J141-K141</f>
        <v>1.4E-3</v>
      </c>
      <c r="M141" s="54">
        <f>F138*0.0001</f>
        <v>7.2632500000000003E-2</v>
      </c>
      <c r="N141" s="52">
        <f>4/3*3.14*M141^3</f>
        <v>1.6042105310436205E-3</v>
      </c>
      <c r="O141" s="56">
        <f t="shared" ref="O141:O155" si="32">(L141/($H$78*$F$101))*100</f>
        <v>109.00392196893773</v>
      </c>
    </row>
    <row r="142" spans="1:15" ht="15.75" customHeight="1" x14ac:dyDescent="0.35">
      <c r="A142" s="1">
        <v>2</v>
      </c>
      <c r="B142" s="40">
        <v>1.4E-3</v>
      </c>
      <c r="C142" s="40">
        <v>2.9999999999999997E-4</v>
      </c>
      <c r="D142" s="40">
        <f t="shared" si="29"/>
        <v>1.1000000000000001E-3</v>
      </c>
      <c r="E142" s="46"/>
      <c r="F142" s="43"/>
      <c r="G142" s="49">
        <f t="shared" si="30"/>
        <v>50.310465770785186</v>
      </c>
      <c r="H142" s="4"/>
      <c r="I142" s="1">
        <v>17</v>
      </c>
      <c r="J142" s="40">
        <v>1.2999999999999999E-3</v>
      </c>
      <c r="K142" s="40">
        <v>1E-4</v>
      </c>
      <c r="L142" s="40">
        <f t="shared" si="31"/>
        <v>1.1999999999999999E-3</v>
      </c>
      <c r="M142" s="55"/>
      <c r="N142" s="53"/>
      <c r="O142" s="56">
        <f t="shared" si="32"/>
        <v>93.431933116232344</v>
      </c>
    </row>
    <row r="143" spans="1:15" ht="15.75" customHeight="1" x14ac:dyDescent="0.35">
      <c r="A143" s="1">
        <v>3</v>
      </c>
      <c r="B143" s="40">
        <v>2.8999999999999998E-3</v>
      </c>
      <c r="C143" s="40">
        <v>1E-4</v>
      </c>
      <c r="D143" s="40">
        <f t="shared" si="29"/>
        <v>2.8E-3</v>
      </c>
      <c r="E143" s="46"/>
      <c r="F143" s="43"/>
      <c r="G143" s="49">
        <f t="shared" si="30"/>
        <v>128.06300378018048</v>
      </c>
      <c r="H143" s="4"/>
      <c r="I143" s="1">
        <v>18</v>
      </c>
      <c r="J143" s="40">
        <v>1.8E-3</v>
      </c>
      <c r="K143" s="40">
        <v>1E-4</v>
      </c>
      <c r="L143" s="40">
        <f t="shared" si="31"/>
        <v>1.6999999999999999E-3</v>
      </c>
      <c r="M143" s="55"/>
      <c r="N143" s="53"/>
      <c r="O143" s="56">
        <f t="shared" si="32"/>
        <v>132.36190524799582</v>
      </c>
    </row>
    <row r="144" spans="1:15" ht="15.75" customHeight="1" x14ac:dyDescent="0.35">
      <c r="A144" s="1">
        <v>4</v>
      </c>
      <c r="B144" s="40">
        <v>2.2000000000000001E-3</v>
      </c>
      <c r="C144" s="40">
        <v>1E-4</v>
      </c>
      <c r="D144" s="40">
        <f t="shared" si="29"/>
        <v>2.1000000000000003E-3</v>
      </c>
      <c r="E144" s="46"/>
      <c r="F144" s="43"/>
      <c r="G144" s="49">
        <f t="shared" si="30"/>
        <v>96.047252835135367</v>
      </c>
      <c r="H144" s="4"/>
      <c r="I144" s="1">
        <v>19</v>
      </c>
      <c r="J144" s="40">
        <v>8.0000000000000004E-4</v>
      </c>
      <c r="K144" s="40">
        <v>1E-4</v>
      </c>
      <c r="L144" s="40">
        <f t="shared" si="31"/>
        <v>6.9999999999999999E-4</v>
      </c>
      <c r="M144" s="55"/>
      <c r="N144" s="53"/>
      <c r="O144" s="56">
        <f t="shared" si="32"/>
        <v>54.501960984468866</v>
      </c>
    </row>
    <row r="145" spans="1:15" ht="15.75" customHeight="1" x14ac:dyDescent="0.35">
      <c r="A145" s="1">
        <v>5</v>
      </c>
      <c r="B145" s="40">
        <v>1.8E-3</v>
      </c>
      <c r="C145" s="40">
        <v>2.0000000000000001E-4</v>
      </c>
      <c r="D145" s="40">
        <f t="shared" si="29"/>
        <v>1.5999999999999999E-3</v>
      </c>
      <c r="E145" s="46"/>
      <c r="F145" s="43"/>
      <c r="G145" s="49">
        <f t="shared" si="30"/>
        <v>73.178859302960262</v>
      </c>
      <c r="H145" s="4"/>
      <c r="I145" s="1">
        <v>20</v>
      </c>
      <c r="J145" s="40">
        <v>8.9999999999999998E-4</v>
      </c>
      <c r="K145" s="40">
        <v>1E-4</v>
      </c>
      <c r="L145" s="40">
        <f t="shared" si="31"/>
        <v>7.9999999999999993E-4</v>
      </c>
      <c r="M145" s="55"/>
      <c r="N145" s="53"/>
      <c r="O145" s="56">
        <f t="shared" si="32"/>
        <v>62.28795541082156</v>
      </c>
    </row>
    <row r="146" spans="1:15" ht="15.75" customHeight="1" x14ac:dyDescent="0.35">
      <c r="A146" s="1">
        <v>6</v>
      </c>
      <c r="B146" s="40">
        <v>2E-3</v>
      </c>
      <c r="C146" s="40">
        <v>2.9999999999999997E-4</v>
      </c>
      <c r="D146" s="40">
        <f t="shared" si="29"/>
        <v>1.7000000000000001E-3</v>
      </c>
      <c r="E146" s="46"/>
      <c r="F146" s="43"/>
      <c r="G146" s="49">
        <f t="shared" si="30"/>
        <v>77.752538009395295</v>
      </c>
      <c r="H146" s="4"/>
      <c r="I146" s="1">
        <v>21</v>
      </c>
      <c r="J146" s="40">
        <v>1.6999999999999999E-3</v>
      </c>
      <c r="K146" s="40">
        <v>2.9999999999999997E-4</v>
      </c>
      <c r="L146" s="40">
        <f t="shared" si="31"/>
        <v>1.4E-3</v>
      </c>
      <c r="M146" s="55"/>
      <c r="N146" s="53"/>
      <c r="O146" s="56">
        <f t="shared" si="32"/>
        <v>109.00392196893773</v>
      </c>
    </row>
    <row r="147" spans="1:15" ht="15.75" customHeight="1" x14ac:dyDescent="0.35">
      <c r="A147" s="1">
        <v>7</v>
      </c>
      <c r="B147" s="40">
        <v>1.4E-3</v>
      </c>
      <c r="C147" s="40">
        <v>5.9999999999999995E-4</v>
      </c>
      <c r="D147" s="40">
        <f t="shared" si="29"/>
        <v>8.0000000000000004E-4</v>
      </c>
      <c r="E147" s="46"/>
      <c r="F147" s="43"/>
      <c r="G147" s="49">
        <f t="shared" si="30"/>
        <v>36.589429651480138</v>
      </c>
      <c r="H147" s="4"/>
      <c r="I147" s="1">
        <v>22</v>
      </c>
      <c r="J147" s="40">
        <v>1.5E-3</v>
      </c>
      <c r="K147" s="40">
        <v>4.0000000000000002E-4</v>
      </c>
      <c r="L147" s="40">
        <f t="shared" si="31"/>
        <v>1.1000000000000001E-3</v>
      </c>
      <c r="M147" s="55"/>
      <c r="N147" s="53"/>
      <c r="O147" s="56">
        <f t="shared" si="32"/>
        <v>85.645938689879671</v>
      </c>
    </row>
    <row r="148" spans="1:15" ht="15.75" customHeight="1" x14ac:dyDescent="0.35">
      <c r="A148" s="1">
        <v>8</v>
      </c>
      <c r="B148" s="40">
        <v>1.5E-3</v>
      </c>
      <c r="C148" s="40">
        <v>1E-4</v>
      </c>
      <c r="D148" s="40">
        <f t="shared" si="29"/>
        <v>1.4E-3</v>
      </c>
      <c r="E148" s="46"/>
      <c r="F148" s="43"/>
      <c r="G148" s="49">
        <f t="shared" si="30"/>
        <v>64.03150189009024</v>
      </c>
      <c r="H148" s="4"/>
      <c r="I148" s="1">
        <v>23</v>
      </c>
      <c r="J148" s="40">
        <v>1.5E-3</v>
      </c>
      <c r="K148" s="40">
        <v>1E-4</v>
      </c>
      <c r="L148" s="40">
        <f t="shared" si="31"/>
        <v>1.4E-3</v>
      </c>
      <c r="M148" s="55"/>
      <c r="N148" s="53"/>
      <c r="O148" s="56">
        <f t="shared" si="32"/>
        <v>109.00392196893773</v>
      </c>
    </row>
    <row r="149" spans="1:15" ht="15.75" customHeight="1" x14ac:dyDescent="0.35">
      <c r="A149" s="1">
        <v>9</v>
      </c>
      <c r="B149" s="40">
        <v>1.6000000000000001E-3</v>
      </c>
      <c r="C149" s="40">
        <v>1E-4</v>
      </c>
      <c r="D149" s="40">
        <f t="shared" si="29"/>
        <v>1.5E-3</v>
      </c>
      <c r="E149" s="46"/>
      <c r="F149" s="43"/>
      <c r="G149" s="49">
        <f t="shared" si="30"/>
        <v>68.605180596525244</v>
      </c>
      <c r="H149" s="4"/>
      <c r="I149" s="1">
        <v>24</v>
      </c>
      <c r="J149" s="40">
        <v>1.5E-3</v>
      </c>
      <c r="K149" s="40">
        <v>5.9999999999999995E-4</v>
      </c>
      <c r="L149" s="40">
        <f t="shared" si="31"/>
        <v>9.0000000000000008E-4</v>
      </c>
      <c r="M149" s="55"/>
      <c r="N149" s="53"/>
      <c r="O149" s="56">
        <f t="shared" si="32"/>
        <v>70.073949837174283</v>
      </c>
    </row>
    <row r="150" spans="1:15" ht="15.75" customHeight="1" x14ac:dyDescent="0.35">
      <c r="A150" s="1">
        <v>10</v>
      </c>
      <c r="B150" s="40">
        <v>1.8E-3</v>
      </c>
      <c r="C150" s="40">
        <v>2.0000000000000001E-4</v>
      </c>
      <c r="D150" s="40">
        <f t="shared" si="29"/>
        <v>1.5999999999999999E-3</v>
      </c>
      <c r="E150" s="46"/>
      <c r="F150" s="43"/>
      <c r="G150" s="49">
        <f t="shared" si="30"/>
        <v>73.178859302960262</v>
      </c>
      <c r="H150" s="4"/>
      <c r="I150" s="1">
        <v>25</v>
      </c>
      <c r="J150" s="40">
        <v>1.8E-3</v>
      </c>
      <c r="K150" s="40">
        <v>1E-4</v>
      </c>
      <c r="L150" s="40">
        <f t="shared" si="31"/>
        <v>1.6999999999999999E-3</v>
      </c>
      <c r="M150" s="55"/>
      <c r="N150" s="53"/>
      <c r="O150" s="56">
        <f t="shared" si="32"/>
        <v>132.36190524799582</v>
      </c>
    </row>
    <row r="151" spans="1:15" ht="15.75" customHeight="1" x14ac:dyDescent="0.35">
      <c r="A151" s="1">
        <v>11</v>
      </c>
      <c r="B151" s="40">
        <v>1.6000000000000001E-3</v>
      </c>
      <c r="C151" s="40">
        <v>2.0000000000000001E-4</v>
      </c>
      <c r="D151" s="40">
        <f t="shared" si="29"/>
        <v>1.4E-3</v>
      </c>
      <c r="E151" s="46"/>
      <c r="F151" s="43"/>
      <c r="G151" s="49">
        <f t="shared" si="30"/>
        <v>64.03150189009024</v>
      </c>
      <c r="H151" s="4"/>
      <c r="I151" s="1">
        <v>26</v>
      </c>
      <c r="J151" s="40">
        <v>1.6000000000000001E-3</v>
      </c>
      <c r="K151" s="40">
        <v>1E-4</v>
      </c>
      <c r="L151" s="40">
        <f t="shared" si="31"/>
        <v>1.5E-3</v>
      </c>
      <c r="M151" s="55"/>
      <c r="N151" s="53"/>
      <c r="O151" s="56">
        <f t="shared" si="32"/>
        <v>116.78991639529043</v>
      </c>
    </row>
    <row r="152" spans="1:15" ht="15.75" customHeight="1" x14ac:dyDescent="0.35">
      <c r="A152" s="1">
        <v>12</v>
      </c>
      <c r="B152" s="40">
        <v>1.6999999999999999E-3</v>
      </c>
      <c r="C152" s="40">
        <v>1E-4</v>
      </c>
      <c r="D152" s="40">
        <f t="shared" si="29"/>
        <v>1.5999999999999999E-3</v>
      </c>
      <c r="E152" s="46"/>
      <c r="F152" s="43"/>
      <c r="G152" s="49">
        <f t="shared" si="30"/>
        <v>73.178859302960262</v>
      </c>
      <c r="H152" s="4"/>
      <c r="I152" s="1">
        <v>27</v>
      </c>
      <c r="J152" s="1">
        <v>1.6999999999999999E-3</v>
      </c>
      <c r="K152" s="1">
        <v>1E-4</v>
      </c>
      <c r="L152" s="40">
        <f t="shared" si="31"/>
        <v>1.5999999999999999E-3</v>
      </c>
      <c r="M152" s="55"/>
      <c r="N152" s="53"/>
      <c r="O152" s="56">
        <f t="shared" si="32"/>
        <v>124.57591082164312</v>
      </c>
    </row>
    <row r="153" spans="1:15" ht="15.75" customHeight="1" x14ac:dyDescent="0.35">
      <c r="A153" s="1">
        <v>13</v>
      </c>
      <c r="B153" s="40">
        <v>1.4E-3</v>
      </c>
      <c r="C153" s="40">
        <v>1E-4</v>
      </c>
      <c r="D153" s="40">
        <f t="shared" si="29"/>
        <v>1.2999999999999999E-3</v>
      </c>
      <c r="E153" s="46"/>
      <c r="F153" s="43"/>
      <c r="G153" s="49">
        <f t="shared" si="30"/>
        <v>59.457823183655215</v>
      </c>
      <c r="H153" s="4"/>
      <c r="I153" s="1">
        <v>28</v>
      </c>
      <c r="J153" s="1">
        <v>1.6000000000000001E-3</v>
      </c>
      <c r="K153" s="1">
        <v>1E-4</v>
      </c>
      <c r="L153" s="40">
        <f t="shared" si="31"/>
        <v>1.5E-3</v>
      </c>
      <c r="M153" s="55"/>
      <c r="N153" s="53"/>
      <c r="O153" s="56">
        <f t="shared" si="32"/>
        <v>116.78991639529043</v>
      </c>
    </row>
    <row r="154" spans="1:15" ht="15.75" customHeight="1" x14ac:dyDescent="0.35">
      <c r="A154" s="1">
        <v>14</v>
      </c>
      <c r="B154" s="40">
        <v>1.8E-3</v>
      </c>
      <c r="C154" s="40">
        <v>2.9999999999999997E-4</v>
      </c>
      <c r="D154" s="40">
        <f t="shared" si="29"/>
        <v>1.5E-3</v>
      </c>
      <c r="E154" s="46"/>
      <c r="F154" s="43"/>
      <c r="G154" s="49">
        <f t="shared" si="30"/>
        <v>68.605180596525244</v>
      </c>
      <c r="H154" s="4"/>
      <c r="I154" s="1">
        <v>29</v>
      </c>
      <c r="J154" s="40">
        <v>1.5E-3</v>
      </c>
      <c r="K154" s="40">
        <v>2.9999999999999997E-4</v>
      </c>
      <c r="L154" s="40">
        <f t="shared" si="31"/>
        <v>1.2000000000000001E-3</v>
      </c>
      <c r="M154" s="55"/>
      <c r="N154" s="53"/>
      <c r="O154" s="56">
        <f t="shared" si="32"/>
        <v>93.431933116232358</v>
      </c>
    </row>
    <row r="155" spans="1:15" ht="15.75" customHeight="1" x14ac:dyDescent="0.35">
      <c r="A155" s="1">
        <v>15</v>
      </c>
      <c r="B155" s="40">
        <v>1.6999999999999999E-3</v>
      </c>
      <c r="C155" s="40">
        <v>1E-4</v>
      </c>
      <c r="D155" s="40">
        <f t="shared" si="29"/>
        <v>1.5999999999999999E-3</v>
      </c>
      <c r="E155" s="47"/>
      <c r="F155" s="44"/>
      <c r="G155" s="49">
        <f t="shared" si="30"/>
        <v>73.178859302960262</v>
      </c>
      <c r="H155" s="4"/>
      <c r="I155" s="1">
        <v>30</v>
      </c>
      <c r="J155" s="40">
        <v>1.9E-3</v>
      </c>
      <c r="K155" s="40">
        <v>2.0000000000000001E-4</v>
      </c>
      <c r="L155" s="40">
        <f t="shared" si="31"/>
        <v>1.6999999999999999E-3</v>
      </c>
      <c r="M155" s="55"/>
      <c r="N155" s="53"/>
      <c r="O155" s="56">
        <f t="shared" si="32"/>
        <v>132.36190524799582</v>
      </c>
    </row>
    <row r="156" spans="1:15" ht="15.75" customHeight="1" x14ac:dyDescent="0.35">
      <c r="A156" s="26" t="s">
        <v>22</v>
      </c>
      <c r="B156" s="3"/>
      <c r="C156" s="3"/>
      <c r="D156" s="3"/>
      <c r="E156" s="3"/>
      <c r="F156" s="3"/>
      <c r="G156" s="51">
        <f>AVERAGE(G141:G155,O141:O155)</f>
        <v>86.909801167239721</v>
      </c>
      <c r="H156" s="27">
        <f>AVERAGE(D141:D155,L141:L155)</f>
        <v>1.4366666666666664E-3</v>
      </c>
      <c r="I156" s="26" t="s">
        <v>23</v>
      </c>
      <c r="J156" s="3"/>
      <c r="K156" s="3"/>
      <c r="L156" s="3"/>
      <c r="M156" s="3"/>
      <c r="N156" s="3"/>
      <c r="O156" s="51">
        <f>STDEV(G141:G155,O141:Z155)</f>
        <v>27.918630313800463</v>
      </c>
    </row>
    <row r="157" spans="1:15" ht="15.75" customHeight="1" x14ac:dyDescent="0.35">
      <c r="A157" s="1"/>
      <c r="B157" s="1"/>
      <c r="C157" s="1"/>
      <c r="D157" s="1"/>
      <c r="E157" s="1"/>
      <c r="F157" s="1"/>
      <c r="G157" s="1"/>
    </row>
    <row r="158" spans="1:15" ht="15.75" customHeight="1" x14ac:dyDescent="0.35">
      <c r="A158" s="1"/>
      <c r="B158" s="1"/>
      <c r="C158" s="1"/>
      <c r="D158" s="1"/>
      <c r="E158" s="1"/>
      <c r="F158" s="1"/>
      <c r="G158" s="1"/>
    </row>
    <row r="159" spans="1:15" ht="15.75" customHeight="1" x14ac:dyDescent="0.35">
      <c r="A159" s="1"/>
      <c r="B159" s="1"/>
      <c r="C159" s="1"/>
      <c r="D159" s="1"/>
      <c r="E159" s="1"/>
      <c r="F159" s="1"/>
      <c r="G159" s="1"/>
    </row>
    <row r="160" spans="1:15" ht="15.75" customHeight="1" x14ac:dyDescent="0.35">
      <c r="A160" s="1"/>
      <c r="B160" s="1"/>
      <c r="C160" s="1"/>
      <c r="D160" s="1"/>
      <c r="E160" s="1"/>
      <c r="F160" s="1"/>
      <c r="G160" s="1"/>
    </row>
    <row r="161" spans="1:7" ht="15.75" customHeight="1" x14ac:dyDescent="0.35">
      <c r="A161" s="1"/>
      <c r="B161" s="1"/>
      <c r="C161" s="1"/>
      <c r="D161" s="1"/>
      <c r="E161" s="1"/>
      <c r="F161" s="1"/>
      <c r="G161" s="1"/>
    </row>
    <row r="162" spans="1:7" ht="15.75" customHeight="1" x14ac:dyDescent="0.35">
      <c r="A162" s="1"/>
      <c r="B162" s="1"/>
      <c r="C162" s="1"/>
      <c r="D162" s="1"/>
      <c r="E162" s="1"/>
      <c r="F162" s="1"/>
      <c r="G162" s="1"/>
    </row>
    <row r="163" spans="1:7" ht="15.75" customHeight="1" x14ac:dyDescent="0.35">
      <c r="A163" s="1"/>
      <c r="B163" s="1"/>
      <c r="C163" s="1"/>
      <c r="D163" s="1"/>
      <c r="E163" s="1"/>
      <c r="F163" s="1"/>
      <c r="G163" s="1"/>
    </row>
    <row r="164" spans="1:7" ht="15.75" customHeight="1" x14ac:dyDescent="0.35">
      <c r="A164" s="1"/>
      <c r="B164" s="1"/>
      <c r="C164" s="1"/>
      <c r="D164" s="1"/>
      <c r="E164" s="1"/>
      <c r="F164" s="1"/>
      <c r="G164" s="1"/>
    </row>
    <row r="165" spans="1:7" ht="15.75" customHeight="1" x14ac:dyDescent="0.35">
      <c r="A165" s="1"/>
      <c r="B165" s="1"/>
      <c r="C165" s="1"/>
      <c r="D165" s="1"/>
      <c r="E165" s="1"/>
      <c r="F165" s="1"/>
      <c r="G165" s="1"/>
    </row>
    <row r="166" spans="1:7" ht="15.75" customHeight="1" x14ac:dyDescent="0.35">
      <c r="A166" s="1"/>
      <c r="B166" s="1"/>
      <c r="C166" s="1"/>
      <c r="D166" s="1"/>
      <c r="E166" s="1"/>
      <c r="F166" s="1"/>
      <c r="G166" s="1"/>
    </row>
    <row r="167" spans="1:7" ht="15.75" customHeight="1" x14ac:dyDescent="0.35">
      <c r="A167" s="1"/>
      <c r="B167" s="1"/>
      <c r="C167" s="1"/>
      <c r="D167" s="1"/>
      <c r="E167" s="1"/>
      <c r="F167" s="1"/>
      <c r="G167" s="1"/>
    </row>
    <row r="168" spans="1:7" ht="15.75" customHeight="1" x14ac:dyDescent="0.35">
      <c r="A168" s="1"/>
      <c r="B168" s="1"/>
      <c r="C168" s="1"/>
      <c r="D168" s="1"/>
      <c r="E168" s="1"/>
      <c r="F168" s="1"/>
      <c r="G168" s="1"/>
    </row>
    <row r="169" spans="1:7" ht="15.75" customHeight="1" x14ac:dyDescent="0.35">
      <c r="A169" s="1"/>
      <c r="B169" s="1"/>
      <c r="C169" s="1"/>
      <c r="D169" s="1"/>
      <c r="E169" s="1"/>
      <c r="F169" s="1"/>
      <c r="G169" s="1"/>
    </row>
    <row r="170" spans="1:7" ht="15.75" customHeight="1" x14ac:dyDescent="0.35">
      <c r="A170" s="1"/>
      <c r="B170" s="1"/>
      <c r="C170" s="1"/>
      <c r="D170" s="1"/>
      <c r="E170" s="1"/>
      <c r="F170" s="1"/>
      <c r="G170" s="1"/>
    </row>
    <row r="171" spans="1:7" ht="15.75" customHeight="1" x14ac:dyDescent="0.35">
      <c r="A171" s="1"/>
      <c r="B171" s="1"/>
      <c r="C171" s="1"/>
      <c r="D171" s="1"/>
      <c r="E171" s="1"/>
      <c r="F171" s="1"/>
      <c r="G171" s="1"/>
    </row>
    <row r="172" spans="1:7" ht="15.75" customHeight="1" x14ac:dyDescent="0.35">
      <c r="A172" s="1"/>
      <c r="B172" s="1"/>
      <c r="C172" s="1"/>
      <c r="D172" s="1"/>
      <c r="E172" s="1"/>
      <c r="F172" s="1"/>
      <c r="G172" s="1"/>
    </row>
    <row r="173" spans="1:7" ht="15.75" customHeight="1" x14ac:dyDescent="0.35">
      <c r="A173" s="1"/>
      <c r="B173" s="1"/>
      <c r="C173" s="1"/>
      <c r="D173" s="1"/>
      <c r="E173" s="1"/>
      <c r="F173" s="1"/>
      <c r="G173" s="1"/>
    </row>
    <row r="174" spans="1:7" ht="15.75" customHeight="1" x14ac:dyDescent="0.35">
      <c r="A174" s="1"/>
      <c r="B174" s="1"/>
      <c r="C174" s="1"/>
      <c r="D174" s="1"/>
      <c r="E174" s="1"/>
      <c r="F174" s="1"/>
      <c r="G174" s="1"/>
    </row>
    <row r="175" spans="1:7" ht="15.75" customHeight="1" x14ac:dyDescent="0.35">
      <c r="A175" s="1"/>
      <c r="B175" s="1"/>
      <c r="C175" s="1"/>
      <c r="D175" s="1"/>
      <c r="E175" s="1"/>
      <c r="F175" s="1"/>
      <c r="G175" s="1"/>
    </row>
    <row r="176" spans="1:7" ht="15.75" customHeight="1" x14ac:dyDescent="0.35">
      <c r="A176" s="1"/>
      <c r="B176" s="1"/>
      <c r="C176" s="1"/>
      <c r="D176" s="1"/>
      <c r="E176" s="1"/>
      <c r="F176" s="1"/>
      <c r="G176" s="1"/>
    </row>
    <row r="177" spans="1:7" ht="15.75" customHeight="1" x14ac:dyDescent="0.35">
      <c r="A177" s="1"/>
      <c r="B177" s="1"/>
      <c r="C177" s="1"/>
      <c r="D177" s="1"/>
      <c r="E177" s="1"/>
      <c r="F177" s="1"/>
      <c r="G177" s="1"/>
    </row>
    <row r="178" spans="1:7" ht="15.75" customHeight="1" x14ac:dyDescent="0.35">
      <c r="A178" s="1"/>
      <c r="B178" s="1"/>
      <c r="C178" s="1"/>
      <c r="D178" s="1"/>
      <c r="E178" s="1"/>
      <c r="F178" s="1"/>
      <c r="G178" s="1"/>
    </row>
    <row r="179" spans="1:7" ht="15.75" customHeight="1" x14ac:dyDescent="0.35">
      <c r="A179" s="1"/>
      <c r="B179" s="1"/>
      <c r="C179" s="1"/>
      <c r="D179" s="1"/>
      <c r="E179" s="1"/>
      <c r="F179" s="1"/>
      <c r="G179" s="1"/>
    </row>
    <row r="180" spans="1:7" ht="15.75" customHeight="1" x14ac:dyDescent="0.35">
      <c r="A180" s="1"/>
      <c r="B180" s="1"/>
      <c r="C180" s="1"/>
      <c r="D180" s="1"/>
      <c r="E180" s="1"/>
      <c r="F180" s="1"/>
      <c r="G180" s="1"/>
    </row>
    <row r="181" spans="1:7" ht="15.75" customHeight="1" x14ac:dyDescent="0.35">
      <c r="A181" s="1"/>
      <c r="B181" s="1"/>
      <c r="C181" s="1"/>
      <c r="D181" s="1"/>
      <c r="E181" s="1"/>
      <c r="F181" s="1"/>
      <c r="G181" s="1"/>
    </row>
    <row r="182" spans="1:7" ht="15.75" customHeight="1" x14ac:dyDescent="0.35">
      <c r="A182" s="1"/>
      <c r="B182" s="1"/>
      <c r="C182" s="1"/>
      <c r="D182" s="1"/>
      <c r="E182" s="1"/>
      <c r="F182" s="1"/>
      <c r="G182" s="1"/>
    </row>
    <row r="183" spans="1:7" ht="15.75" customHeight="1" x14ac:dyDescent="0.35">
      <c r="A183" s="1"/>
      <c r="B183" s="1"/>
      <c r="C183" s="1"/>
      <c r="D183" s="1"/>
      <c r="E183" s="1"/>
      <c r="F183" s="1"/>
      <c r="G183" s="1"/>
    </row>
    <row r="184" spans="1:7" ht="15.75" customHeight="1" x14ac:dyDescent="0.35">
      <c r="A184" s="1"/>
      <c r="B184" s="1"/>
      <c r="C184" s="1"/>
      <c r="D184" s="1"/>
      <c r="E184" s="1"/>
      <c r="F184" s="1"/>
      <c r="G184" s="1"/>
    </row>
    <row r="185" spans="1:7" ht="15.75" customHeight="1" x14ac:dyDescent="0.35">
      <c r="A185" s="1"/>
      <c r="B185" s="1"/>
      <c r="C185" s="1"/>
      <c r="D185" s="1"/>
      <c r="E185" s="1"/>
      <c r="F185" s="1"/>
      <c r="G185" s="1"/>
    </row>
    <row r="186" spans="1:7" ht="15.75" customHeight="1" x14ac:dyDescent="0.35">
      <c r="A186" s="1"/>
      <c r="B186" s="1"/>
      <c r="C186" s="1"/>
      <c r="D186" s="1"/>
      <c r="E186" s="1"/>
      <c r="F186" s="1"/>
      <c r="G186" s="1"/>
    </row>
    <row r="187" spans="1:7" ht="15.75" customHeight="1" x14ac:dyDescent="0.35">
      <c r="A187" s="1"/>
      <c r="B187" s="1"/>
      <c r="C187" s="1"/>
      <c r="D187" s="1"/>
      <c r="E187" s="1"/>
      <c r="F187" s="1"/>
      <c r="G187" s="1"/>
    </row>
    <row r="188" spans="1:7" ht="15.75" customHeight="1" x14ac:dyDescent="0.35">
      <c r="A188" s="1"/>
      <c r="B188" s="1"/>
      <c r="C188" s="1"/>
      <c r="D188" s="1"/>
      <c r="E188" s="1"/>
      <c r="F188" s="1"/>
      <c r="G188" s="1"/>
    </row>
    <row r="189" spans="1:7" ht="15.75" customHeight="1" x14ac:dyDescent="0.35">
      <c r="A189" s="1"/>
      <c r="B189" s="1"/>
      <c r="C189" s="1"/>
      <c r="D189" s="1"/>
      <c r="E189" s="1"/>
      <c r="F189" s="1"/>
      <c r="G189" s="1"/>
    </row>
    <row r="190" spans="1:7" ht="15.75" customHeight="1" x14ac:dyDescent="0.35">
      <c r="A190" s="1"/>
      <c r="B190" s="1"/>
      <c r="C190" s="1"/>
      <c r="D190" s="1"/>
      <c r="E190" s="1"/>
      <c r="F190" s="1"/>
      <c r="G190" s="1"/>
    </row>
    <row r="191" spans="1:7" ht="15.75" customHeight="1" x14ac:dyDescent="0.35">
      <c r="A191" s="1"/>
      <c r="B191" s="1"/>
      <c r="C191" s="1"/>
      <c r="D191" s="1"/>
      <c r="E191" s="1"/>
      <c r="F191" s="1"/>
      <c r="G191" s="1"/>
    </row>
    <row r="192" spans="1:7" ht="15.75" customHeight="1" x14ac:dyDescent="0.35">
      <c r="A192" s="1"/>
      <c r="B192" s="1"/>
      <c r="C192" s="1"/>
      <c r="D192" s="1"/>
      <c r="E192" s="1"/>
      <c r="F192" s="1"/>
      <c r="G192" s="1"/>
    </row>
    <row r="193" spans="1:7" ht="15.75" customHeight="1" x14ac:dyDescent="0.35">
      <c r="A193" s="1"/>
      <c r="B193" s="1"/>
      <c r="C193" s="1"/>
      <c r="D193" s="1"/>
      <c r="E193" s="1"/>
      <c r="F193" s="1"/>
      <c r="G193" s="1"/>
    </row>
    <row r="194" spans="1:7" ht="15.75" customHeight="1" x14ac:dyDescent="0.35">
      <c r="A194" s="1"/>
      <c r="B194" s="1"/>
      <c r="C194" s="1"/>
      <c r="D194" s="1"/>
      <c r="E194" s="1"/>
      <c r="F194" s="1"/>
      <c r="G194" s="1"/>
    </row>
    <row r="195" spans="1:7" ht="15.75" customHeight="1" x14ac:dyDescent="0.35">
      <c r="A195" s="1"/>
      <c r="B195" s="1"/>
      <c r="C195" s="1"/>
      <c r="D195" s="1"/>
      <c r="E195" s="1"/>
      <c r="F195" s="1"/>
      <c r="G195" s="1"/>
    </row>
    <row r="196" spans="1:7" ht="15.75" customHeight="1" x14ac:dyDescent="0.35">
      <c r="A196" s="1"/>
      <c r="B196" s="1"/>
      <c r="C196" s="1"/>
      <c r="D196" s="1"/>
      <c r="E196" s="1"/>
      <c r="F196" s="1"/>
      <c r="G196" s="1"/>
    </row>
    <row r="197" spans="1:7" ht="15.75" customHeight="1" x14ac:dyDescent="0.35">
      <c r="A197" s="1"/>
      <c r="B197" s="1"/>
      <c r="C197" s="1"/>
      <c r="D197" s="1"/>
      <c r="E197" s="1"/>
      <c r="F197" s="1"/>
      <c r="G197" s="1"/>
    </row>
    <row r="198" spans="1:7" ht="15.75" customHeight="1" x14ac:dyDescent="0.35">
      <c r="A198" s="1"/>
      <c r="B198" s="1"/>
      <c r="C198" s="1"/>
      <c r="D198" s="1"/>
      <c r="E198" s="1"/>
      <c r="F198" s="1"/>
      <c r="G198" s="1"/>
    </row>
    <row r="199" spans="1:7" ht="15.75" customHeight="1" x14ac:dyDescent="0.35">
      <c r="A199" s="1"/>
      <c r="B199" s="1"/>
      <c r="C199" s="1"/>
      <c r="D199" s="1"/>
      <c r="E199" s="1"/>
      <c r="F199" s="1"/>
      <c r="G199" s="1"/>
    </row>
    <row r="200" spans="1:7" ht="15.75" customHeight="1" x14ac:dyDescent="0.35">
      <c r="A200" s="1"/>
      <c r="B200" s="1"/>
      <c r="C200" s="1"/>
      <c r="D200" s="1"/>
      <c r="E200" s="1"/>
      <c r="F200" s="1"/>
      <c r="G200" s="1"/>
    </row>
    <row r="201" spans="1:7" ht="15.75" customHeight="1" x14ac:dyDescent="0.35">
      <c r="A201" s="1"/>
      <c r="B201" s="1"/>
      <c r="C201" s="1"/>
      <c r="D201" s="1"/>
      <c r="E201" s="1"/>
      <c r="F201" s="1"/>
      <c r="G201" s="1"/>
    </row>
    <row r="202" spans="1:7" ht="15.75" customHeight="1" x14ac:dyDescent="0.35">
      <c r="A202" s="1"/>
      <c r="B202" s="1"/>
      <c r="C202" s="1"/>
      <c r="D202" s="1"/>
      <c r="E202" s="1"/>
      <c r="F202" s="1"/>
      <c r="G202" s="1"/>
    </row>
    <row r="203" spans="1:7" ht="15.75" customHeight="1" x14ac:dyDescent="0.35">
      <c r="A203" s="1"/>
      <c r="B203" s="1"/>
      <c r="C203" s="1"/>
      <c r="D203" s="1"/>
      <c r="E203" s="1"/>
      <c r="F203" s="1"/>
      <c r="G203" s="1"/>
    </row>
    <row r="204" spans="1:7" ht="15.75" customHeight="1" x14ac:dyDescent="0.35">
      <c r="A204" s="1"/>
      <c r="B204" s="1"/>
      <c r="C204" s="1"/>
      <c r="D204" s="1"/>
      <c r="E204" s="1"/>
      <c r="F204" s="1"/>
      <c r="G204" s="1"/>
    </row>
    <row r="205" spans="1:7" ht="15.75" customHeight="1" x14ac:dyDescent="0.35">
      <c r="A205" s="1"/>
      <c r="B205" s="1"/>
      <c r="C205" s="1"/>
      <c r="D205" s="1"/>
      <c r="E205" s="1"/>
      <c r="F205" s="1"/>
      <c r="G205" s="1"/>
    </row>
    <row r="206" spans="1:7" ht="15.75" customHeight="1" x14ac:dyDescent="0.35">
      <c r="A206" s="1"/>
      <c r="B206" s="1"/>
      <c r="C206" s="1"/>
      <c r="D206" s="1"/>
      <c r="E206" s="1"/>
      <c r="F206" s="1"/>
      <c r="G206" s="1"/>
    </row>
    <row r="207" spans="1:7" ht="15.75" customHeight="1" x14ac:dyDescent="0.35">
      <c r="A207" s="1"/>
      <c r="B207" s="1"/>
      <c r="C207" s="1"/>
      <c r="D207" s="1"/>
      <c r="E207" s="1"/>
      <c r="F207" s="1"/>
      <c r="G207" s="1"/>
    </row>
    <row r="208" spans="1:7" ht="15.75" customHeight="1" x14ac:dyDescent="0.35">
      <c r="A208" s="1"/>
      <c r="B208" s="1"/>
      <c r="C208" s="1"/>
      <c r="D208" s="1"/>
      <c r="E208" s="1"/>
      <c r="F208" s="1"/>
      <c r="G208" s="1"/>
    </row>
    <row r="209" spans="1:7" ht="15.75" customHeight="1" x14ac:dyDescent="0.35">
      <c r="A209" s="1"/>
      <c r="B209" s="1"/>
      <c r="C209" s="1"/>
      <c r="D209" s="1"/>
      <c r="E209" s="1"/>
      <c r="F209" s="1"/>
      <c r="G209" s="1"/>
    </row>
    <row r="210" spans="1:7" ht="15.75" customHeight="1" x14ac:dyDescent="0.35">
      <c r="A210" s="1"/>
      <c r="B210" s="1"/>
      <c r="C210" s="1"/>
      <c r="D210" s="1"/>
      <c r="E210" s="1"/>
      <c r="F210" s="1"/>
      <c r="G210" s="1"/>
    </row>
    <row r="211" spans="1:7" ht="15.75" customHeight="1" x14ac:dyDescent="0.35">
      <c r="A211" s="1"/>
      <c r="B211" s="1"/>
      <c r="C211" s="1"/>
      <c r="D211" s="1"/>
      <c r="E211" s="1"/>
      <c r="F211" s="1"/>
      <c r="G211" s="1"/>
    </row>
    <row r="212" spans="1:7" ht="15.75" customHeight="1" x14ac:dyDescent="0.35">
      <c r="A212" s="1"/>
      <c r="B212" s="1"/>
      <c r="C212" s="1"/>
      <c r="D212" s="1"/>
      <c r="E212" s="1"/>
      <c r="F212" s="1"/>
      <c r="G212" s="1"/>
    </row>
    <row r="213" spans="1:7" ht="15.75" customHeight="1" x14ac:dyDescent="0.35">
      <c r="A213" s="1"/>
      <c r="B213" s="1"/>
      <c r="C213" s="1"/>
      <c r="D213" s="1"/>
      <c r="E213" s="1"/>
      <c r="F213" s="1"/>
      <c r="G213" s="1"/>
    </row>
    <row r="214" spans="1:7" ht="15.75" customHeight="1" x14ac:dyDescent="0.35">
      <c r="A214" s="1"/>
      <c r="B214" s="1"/>
      <c r="C214" s="1"/>
      <c r="D214" s="1"/>
      <c r="E214" s="1"/>
      <c r="F214" s="1"/>
      <c r="G214" s="1"/>
    </row>
    <row r="215" spans="1:7" ht="15.75" customHeight="1" x14ac:dyDescent="0.35">
      <c r="A215" s="1"/>
      <c r="B215" s="1"/>
      <c r="C215" s="1"/>
      <c r="D215" s="1"/>
      <c r="E215" s="1"/>
      <c r="F215" s="1"/>
      <c r="G215" s="1"/>
    </row>
    <row r="216" spans="1:7" ht="15.75" customHeight="1" x14ac:dyDescent="0.35">
      <c r="A216" s="1"/>
      <c r="B216" s="1"/>
      <c r="C216" s="1"/>
      <c r="D216" s="1"/>
      <c r="E216" s="1"/>
      <c r="F216" s="1"/>
      <c r="G216" s="1"/>
    </row>
    <row r="217" spans="1:7" ht="15.75" customHeight="1" x14ac:dyDescent="0.35">
      <c r="A217" s="1"/>
      <c r="B217" s="1"/>
      <c r="C217" s="1"/>
      <c r="D217" s="1"/>
      <c r="E217" s="1"/>
      <c r="F217" s="1"/>
      <c r="G217" s="1"/>
    </row>
    <row r="218" spans="1:7" ht="15.75" customHeight="1" x14ac:dyDescent="0.35">
      <c r="A218" s="1"/>
      <c r="B218" s="1"/>
      <c r="C218" s="1"/>
      <c r="D218" s="1"/>
      <c r="E218" s="1"/>
      <c r="F218" s="1"/>
      <c r="G218" s="1"/>
    </row>
    <row r="219" spans="1:7" ht="15.75" customHeight="1" x14ac:dyDescent="0.35">
      <c r="A219" s="1"/>
      <c r="B219" s="1"/>
      <c r="C219" s="1"/>
      <c r="D219" s="1"/>
      <c r="E219" s="1"/>
      <c r="F219" s="1"/>
      <c r="G219" s="1"/>
    </row>
    <row r="220" spans="1:7" ht="15.75" customHeight="1" x14ac:dyDescent="0.35">
      <c r="A220" s="1"/>
      <c r="B220" s="1"/>
      <c r="C220" s="1"/>
      <c r="D220" s="1"/>
      <c r="E220" s="1"/>
      <c r="F220" s="1"/>
      <c r="G220" s="1"/>
    </row>
    <row r="221" spans="1:7" ht="15.75" customHeight="1" x14ac:dyDescent="0.35">
      <c r="A221" s="1"/>
      <c r="B221" s="1"/>
      <c r="C221" s="1"/>
      <c r="D221" s="1"/>
      <c r="E221" s="1"/>
      <c r="F221" s="1"/>
      <c r="G221" s="1"/>
    </row>
    <row r="222" spans="1:7" ht="15.75" customHeight="1" x14ac:dyDescent="0.35">
      <c r="A222" s="1"/>
      <c r="B222" s="1"/>
      <c r="C222" s="1"/>
      <c r="D222" s="1"/>
      <c r="E222" s="1"/>
      <c r="F222" s="1"/>
      <c r="G222" s="1"/>
    </row>
    <row r="223" spans="1:7" ht="15.75" customHeight="1" x14ac:dyDescent="0.35">
      <c r="A223" s="1"/>
      <c r="B223" s="1"/>
      <c r="C223" s="1"/>
      <c r="D223" s="1"/>
      <c r="E223" s="1"/>
      <c r="F223" s="1"/>
      <c r="G223" s="1"/>
    </row>
    <row r="224" spans="1:7" ht="15.75" customHeight="1" x14ac:dyDescent="0.35">
      <c r="A224" s="1"/>
      <c r="B224" s="1"/>
      <c r="C224" s="1"/>
      <c r="D224" s="1"/>
      <c r="E224" s="1"/>
      <c r="F224" s="1"/>
      <c r="G224" s="1"/>
    </row>
    <row r="225" spans="1:7" ht="15.75" customHeight="1" x14ac:dyDescent="0.35">
      <c r="A225" s="1"/>
      <c r="B225" s="1"/>
      <c r="C225" s="1"/>
      <c r="D225" s="1"/>
      <c r="E225" s="1"/>
      <c r="F225" s="1"/>
      <c r="G225" s="1"/>
    </row>
    <row r="226" spans="1:7" ht="15.75" customHeight="1" x14ac:dyDescent="0.35">
      <c r="A226" s="1"/>
      <c r="B226" s="1"/>
      <c r="C226" s="1"/>
      <c r="D226" s="1"/>
      <c r="E226" s="1"/>
      <c r="F226" s="1"/>
      <c r="G226" s="1"/>
    </row>
    <row r="227" spans="1:7" ht="15.75" customHeight="1" x14ac:dyDescent="0.35">
      <c r="A227" s="1"/>
      <c r="B227" s="1"/>
      <c r="C227" s="1"/>
      <c r="D227" s="1"/>
      <c r="E227" s="1"/>
      <c r="F227" s="1"/>
      <c r="G227" s="1"/>
    </row>
    <row r="228" spans="1:7" ht="15.75" customHeight="1" x14ac:dyDescent="0.35">
      <c r="A228" s="1"/>
      <c r="B228" s="1"/>
      <c r="C228" s="1"/>
      <c r="D228" s="1"/>
      <c r="E228" s="1"/>
      <c r="F228" s="1"/>
      <c r="G228" s="1"/>
    </row>
    <row r="229" spans="1:7" ht="15.75" customHeight="1" x14ac:dyDescent="0.35">
      <c r="A229" s="1"/>
      <c r="B229" s="1"/>
      <c r="C229" s="1"/>
      <c r="D229" s="1"/>
      <c r="E229" s="1"/>
      <c r="F229" s="1"/>
      <c r="G229" s="1"/>
    </row>
    <row r="230" spans="1:7" ht="15.75" customHeight="1" x14ac:dyDescent="0.35">
      <c r="A230" s="1"/>
      <c r="B230" s="1"/>
      <c r="C230" s="1"/>
      <c r="D230" s="1"/>
      <c r="E230" s="1"/>
      <c r="F230" s="1"/>
      <c r="G230" s="1"/>
    </row>
    <row r="231" spans="1:7" ht="15.75" customHeight="1" x14ac:dyDescent="0.35">
      <c r="A231" s="1"/>
      <c r="B231" s="1"/>
      <c r="C231" s="1"/>
      <c r="D231" s="1"/>
      <c r="E231" s="1"/>
      <c r="F231" s="1"/>
      <c r="G231" s="1"/>
    </row>
    <row r="232" spans="1:7" ht="15.75" customHeight="1" x14ac:dyDescent="0.35">
      <c r="A232" s="1"/>
      <c r="B232" s="1"/>
      <c r="C232" s="1"/>
      <c r="D232" s="1"/>
      <c r="E232" s="1"/>
      <c r="F232" s="1"/>
      <c r="G232" s="1"/>
    </row>
    <row r="233" spans="1:7" ht="15.75" customHeight="1" x14ac:dyDescent="0.35">
      <c r="A233" s="1"/>
      <c r="B233" s="1"/>
      <c r="C233" s="1"/>
      <c r="D233" s="1"/>
      <c r="E233" s="1"/>
      <c r="F233" s="1"/>
      <c r="G233" s="1"/>
    </row>
    <row r="234" spans="1:7" ht="15.75" customHeight="1" x14ac:dyDescent="0.35">
      <c r="A234" s="1"/>
      <c r="B234" s="1"/>
      <c r="C234" s="1"/>
      <c r="D234" s="1"/>
      <c r="E234" s="1"/>
      <c r="F234" s="1"/>
      <c r="G234" s="1"/>
    </row>
    <row r="235" spans="1:7" ht="15.75" customHeight="1" x14ac:dyDescent="0.35">
      <c r="A235" s="1"/>
      <c r="B235" s="1"/>
      <c r="C235" s="1"/>
      <c r="D235" s="1"/>
      <c r="E235" s="1"/>
      <c r="F235" s="1"/>
      <c r="G235" s="1"/>
    </row>
    <row r="236" spans="1:7" ht="15.75" customHeight="1" x14ac:dyDescent="0.35">
      <c r="A236" s="1"/>
      <c r="B236" s="1"/>
      <c r="C236" s="1"/>
      <c r="D236" s="1"/>
      <c r="E236" s="1"/>
      <c r="F236" s="1"/>
      <c r="G236" s="1"/>
    </row>
    <row r="237" spans="1:7" ht="15.75" customHeight="1" x14ac:dyDescent="0.35">
      <c r="A237" s="1"/>
      <c r="B237" s="1"/>
      <c r="C237" s="1"/>
      <c r="D237" s="1"/>
      <c r="E237" s="1"/>
      <c r="F237" s="1"/>
      <c r="G237" s="1"/>
    </row>
    <row r="238" spans="1:7" ht="15.75" customHeight="1" x14ac:dyDescent="0.35">
      <c r="A238" s="1"/>
      <c r="B238" s="1"/>
      <c r="C238" s="1"/>
      <c r="D238" s="1"/>
      <c r="E238" s="1"/>
      <c r="F238" s="1"/>
      <c r="G238" s="1"/>
    </row>
    <row r="239" spans="1:7" ht="15.75" customHeight="1" x14ac:dyDescent="0.35">
      <c r="A239" s="1"/>
      <c r="B239" s="1"/>
      <c r="C239" s="1"/>
      <c r="D239" s="1"/>
      <c r="E239" s="1"/>
      <c r="F239" s="1"/>
      <c r="G239" s="1"/>
    </row>
    <row r="240" spans="1:7" ht="15.75" customHeight="1" x14ac:dyDescent="0.35">
      <c r="A240" s="1"/>
      <c r="B240" s="1"/>
      <c r="C240" s="1"/>
      <c r="D240" s="1"/>
      <c r="E240" s="1"/>
      <c r="F240" s="1"/>
      <c r="G240" s="1"/>
    </row>
    <row r="241" spans="1:7" ht="15.75" customHeight="1" x14ac:dyDescent="0.35">
      <c r="A241" s="1"/>
      <c r="B241" s="1"/>
      <c r="C241" s="1"/>
      <c r="D241" s="1"/>
      <c r="E241" s="1"/>
      <c r="F241" s="1"/>
      <c r="G241" s="1"/>
    </row>
    <row r="242" spans="1:7" ht="15.75" customHeight="1" x14ac:dyDescent="0.35">
      <c r="A242" s="1"/>
      <c r="B242" s="1"/>
      <c r="C242" s="1"/>
      <c r="D242" s="1"/>
      <c r="E242" s="1"/>
      <c r="F242" s="1"/>
      <c r="G242" s="1"/>
    </row>
    <row r="243" spans="1:7" ht="15.75" customHeight="1" x14ac:dyDescent="0.35">
      <c r="A243" s="1"/>
      <c r="B243" s="1"/>
      <c r="C243" s="1"/>
      <c r="D243" s="1"/>
      <c r="E243" s="1"/>
      <c r="F243" s="1"/>
      <c r="G243" s="1"/>
    </row>
    <row r="244" spans="1:7" ht="15.75" customHeight="1" x14ac:dyDescent="0.35">
      <c r="A244" s="1"/>
      <c r="B244" s="1"/>
      <c r="C244" s="1"/>
      <c r="D244" s="1"/>
      <c r="E244" s="1"/>
      <c r="F244" s="1"/>
      <c r="G244" s="1"/>
    </row>
    <row r="245" spans="1:7" ht="15.75" customHeight="1" x14ac:dyDescent="0.35">
      <c r="A245" s="1"/>
      <c r="B245" s="1"/>
      <c r="C245" s="1"/>
      <c r="D245" s="1"/>
      <c r="E245" s="1"/>
      <c r="F245" s="1"/>
      <c r="G245" s="1"/>
    </row>
    <row r="246" spans="1:7" ht="15.75" customHeight="1" x14ac:dyDescent="0.35">
      <c r="A246" s="1"/>
      <c r="B246" s="1"/>
      <c r="C246" s="1"/>
      <c r="D246" s="1"/>
      <c r="E246" s="1"/>
      <c r="F246" s="1"/>
      <c r="G246" s="1"/>
    </row>
    <row r="247" spans="1:7" ht="15.75" customHeight="1" x14ac:dyDescent="0.35">
      <c r="A247" s="1"/>
      <c r="B247" s="1"/>
      <c r="C247" s="1"/>
      <c r="D247" s="1"/>
      <c r="E247" s="1"/>
      <c r="F247" s="1"/>
      <c r="G247" s="1"/>
    </row>
    <row r="248" spans="1:7" ht="15.75" customHeight="1" x14ac:dyDescent="0.35">
      <c r="A248" s="1"/>
      <c r="B248" s="1"/>
      <c r="C248" s="1"/>
      <c r="D248" s="1"/>
      <c r="E248" s="1"/>
      <c r="F248" s="1"/>
      <c r="G248" s="1"/>
    </row>
    <row r="249" spans="1:7" ht="15.75" customHeight="1" x14ac:dyDescent="0.35">
      <c r="A249" s="1"/>
      <c r="B249" s="1"/>
      <c r="C249" s="1"/>
      <c r="D249" s="1"/>
      <c r="E249" s="1"/>
      <c r="F249" s="1"/>
      <c r="G249" s="1"/>
    </row>
    <row r="250" spans="1:7" ht="15.75" customHeight="1" x14ac:dyDescent="0.35">
      <c r="A250" s="1"/>
      <c r="B250" s="1"/>
      <c r="C250" s="1"/>
      <c r="D250" s="1"/>
      <c r="E250" s="1"/>
      <c r="F250" s="1"/>
      <c r="G250" s="1"/>
    </row>
    <row r="251" spans="1:7" ht="15.75" customHeight="1" x14ac:dyDescent="0.35">
      <c r="A251" s="1"/>
      <c r="B251" s="1"/>
      <c r="C251" s="1"/>
      <c r="D251" s="1"/>
      <c r="E251" s="1"/>
      <c r="F251" s="1"/>
      <c r="G251" s="1"/>
    </row>
    <row r="252" spans="1:7" ht="15.75" customHeight="1" x14ac:dyDescent="0.35">
      <c r="A252" s="1"/>
      <c r="B252" s="1"/>
      <c r="C252" s="1"/>
      <c r="D252" s="1"/>
      <c r="E252" s="1"/>
      <c r="F252" s="1"/>
      <c r="G252" s="1"/>
    </row>
    <row r="253" spans="1:7" ht="15.75" customHeight="1" x14ac:dyDescent="0.35">
      <c r="A253" s="1"/>
      <c r="B253" s="1"/>
      <c r="C253" s="1"/>
      <c r="D253" s="1"/>
      <c r="E253" s="1"/>
      <c r="F253" s="1"/>
      <c r="G253" s="1"/>
    </row>
    <row r="254" spans="1:7" ht="15.75" customHeight="1" x14ac:dyDescent="0.35">
      <c r="A254" s="1"/>
      <c r="B254" s="1"/>
      <c r="C254" s="1"/>
      <c r="D254" s="1"/>
      <c r="E254" s="1"/>
      <c r="F254" s="1"/>
      <c r="G254" s="1"/>
    </row>
    <row r="255" spans="1:7" ht="15.75" customHeight="1" x14ac:dyDescent="0.35">
      <c r="A255" s="1"/>
      <c r="B255" s="1"/>
      <c r="C255" s="1"/>
      <c r="D255" s="1"/>
      <c r="E255" s="1"/>
      <c r="F255" s="1"/>
      <c r="G255" s="1"/>
    </row>
    <row r="256" spans="1:7" ht="15.75" customHeight="1" x14ac:dyDescent="0.35">
      <c r="A256" s="1"/>
      <c r="B256" s="1"/>
      <c r="C256" s="1"/>
      <c r="D256" s="1"/>
      <c r="E256" s="1"/>
      <c r="F256" s="1"/>
      <c r="G256" s="1"/>
    </row>
    <row r="257" spans="1:7" ht="15.75" customHeight="1" x14ac:dyDescent="0.35">
      <c r="A257" s="1"/>
      <c r="B257" s="1"/>
      <c r="C257" s="1"/>
      <c r="D257" s="1"/>
      <c r="E257" s="1"/>
      <c r="F257" s="1"/>
      <c r="G257" s="1"/>
    </row>
    <row r="258" spans="1:7" ht="15.75" customHeight="1" x14ac:dyDescent="0.35">
      <c r="A258" s="1"/>
      <c r="B258" s="1"/>
      <c r="C258" s="1"/>
      <c r="D258" s="1"/>
      <c r="E258" s="1"/>
      <c r="F258" s="1"/>
      <c r="G258" s="1"/>
    </row>
    <row r="259" spans="1:7" ht="15.75" customHeight="1" x14ac:dyDescent="0.35">
      <c r="A259" s="1"/>
      <c r="B259" s="1"/>
      <c r="C259" s="1"/>
      <c r="D259" s="1"/>
      <c r="E259" s="1"/>
      <c r="F259" s="1"/>
      <c r="G259" s="1"/>
    </row>
    <row r="260" spans="1:7" ht="15.75" customHeight="1" x14ac:dyDescent="0.35">
      <c r="A260" s="1"/>
      <c r="B260" s="1"/>
      <c r="C260" s="1"/>
      <c r="D260" s="1"/>
      <c r="E260" s="1"/>
      <c r="F260" s="1"/>
      <c r="G260" s="1"/>
    </row>
    <row r="261" spans="1:7" ht="15.75" customHeight="1" x14ac:dyDescent="0.35">
      <c r="A261" s="1"/>
      <c r="B261" s="1"/>
      <c r="C261" s="1"/>
      <c r="D261" s="1"/>
      <c r="E261" s="1"/>
      <c r="F261" s="1"/>
      <c r="G261" s="1"/>
    </row>
    <row r="262" spans="1:7" ht="15.75" customHeight="1" x14ac:dyDescent="0.35">
      <c r="A262" s="1"/>
      <c r="B262" s="1"/>
      <c r="C262" s="1"/>
      <c r="D262" s="1"/>
      <c r="E262" s="1"/>
      <c r="F262" s="1"/>
      <c r="G262" s="1"/>
    </row>
    <row r="263" spans="1:7" ht="15.75" customHeight="1" x14ac:dyDescent="0.35">
      <c r="A263" s="1"/>
      <c r="B263" s="1"/>
      <c r="C263" s="1"/>
      <c r="D263" s="1"/>
      <c r="E263" s="1"/>
      <c r="F263" s="1"/>
      <c r="G263" s="1"/>
    </row>
    <row r="264" spans="1:7" ht="15.75" customHeight="1" x14ac:dyDescent="0.35">
      <c r="A264" s="1"/>
      <c r="B264" s="1"/>
      <c r="C264" s="1"/>
      <c r="D264" s="1"/>
      <c r="E264" s="1"/>
      <c r="F264" s="1"/>
      <c r="G264" s="1"/>
    </row>
    <row r="265" spans="1:7" ht="15.75" customHeight="1" x14ac:dyDescent="0.35">
      <c r="A265" s="1"/>
      <c r="B265" s="1"/>
      <c r="C265" s="1"/>
      <c r="D265" s="1"/>
      <c r="E265" s="1"/>
      <c r="F265" s="1"/>
      <c r="G265" s="1"/>
    </row>
    <row r="266" spans="1:7" ht="15.75" customHeight="1" x14ac:dyDescent="0.35">
      <c r="A266" s="1"/>
      <c r="B266" s="1"/>
      <c r="C266" s="1"/>
      <c r="D266" s="1"/>
      <c r="E266" s="1"/>
      <c r="F266" s="1"/>
      <c r="G266" s="1"/>
    </row>
    <row r="267" spans="1:7" ht="15.75" customHeight="1" x14ac:dyDescent="0.35">
      <c r="A267" s="1"/>
      <c r="B267" s="1"/>
      <c r="C267" s="1"/>
      <c r="D267" s="1"/>
      <c r="E267" s="1"/>
      <c r="F267" s="1"/>
      <c r="G267" s="1"/>
    </row>
    <row r="268" spans="1:7" ht="15.75" customHeight="1" x14ac:dyDescent="0.35">
      <c r="A268" s="1"/>
      <c r="B268" s="1"/>
      <c r="C268" s="1"/>
      <c r="D268" s="1"/>
      <c r="E268" s="1"/>
      <c r="F268" s="1"/>
      <c r="G268" s="1"/>
    </row>
    <row r="269" spans="1:7" ht="15.75" customHeight="1" x14ac:dyDescent="0.35">
      <c r="A269" s="1"/>
      <c r="B269" s="1"/>
      <c r="C269" s="1"/>
      <c r="D269" s="1"/>
      <c r="E269" s="1"/>
      <c r="F269" s="1"/>
      <c r="G269" s="1"/>
    </row>
    <row r="270" spans="1:7" ht="15.75" customHeight="1" x14ac:dyDescent="0.35">
      <c r="A270" s="1"/>
      <c r="B270" s="1"/>
      <c r="C270" s="1"/>
      <c r="D270" s="1"/>
      <c r="E270" s="1"/>
      <c r="F270" s="1"/>
      <c r="G270" s="1"/>
    </row>
    <row r="271" spans="1:7" ht="15.75" customHeight="1" x14ac:dyDescent="0.35">
      <c r="A271" s="1"/>
      <c r="B271" s="1"/>
      <c r="C271" s="1"/>
      <c r="D271" s="1"/>
      <c r="E271" s="1"/>
      <c r="F271" s="1"/>
      <c r="G271" s="1"/>
    </row>
    <row r="272" spans="1:7" ht="15.75" customHeight="1" x14ac:dyDescent="0.35">
      <c r="A272" s="1"/>
      <c r="B272" s="1"/>
      <c r="C272" s="1"/>
      <c r="D272" s="1"/>
      <c r="E272" s="1"/>
      <c r="F272" s="1"/>
      <c r="G272" s="1"/>
    </row>
    <row r="273" spans="1:7" ht="15.75" customHeight="1" x14ac:dyDescent="0.35">
      <c r="A273" s="1"/>
      <c r="B273" s="1"/>
      <c r="C273" s="1"/>
      <c r="D273" s="1"/>
      <c r="E273" s="1"/>
      <c r="F273" s="1"/>
      <c r="G273" s="1"/>
    </row>
    <row r="274" spans="1:7" ht="15.75" customHeight="1" x14ac:dyDescent="0.35">
      <c r="A274" s="1"/>
      <c r="B274" s="1"/>
      <c r="C274" s="1"/>
      <c r="D274" s="1"/>
      <c r="E274" s="1"/>
      <c r="F274" s="1"/>
      <c r="G274" s="1"/>
    </row>
    <row r="275" spans="1:7" ht="15.75" customHeight="1" x14ac:dyDescent="0.35">
      <c r="A275" s="1"/>
      <c r="B275" s="1"/>
      <c r="C275" s="1"/>
      <c r="D275" s="1"/>
      <c r="E275" s="1"/>
      <c r="F275" s="1"/>
      <c r="G275" s="1"/>
    </row>
    <row r="276" spans="1:7" ht="15.75" customHeight="1" x14ac:dyDescent="0.35">
      <c r="A276" s="1"/>
      <c r="B276" s="1"/>
      <c r="C276" s="1"/>
      <c r="D276" s="1"/>
      <c r="E276" s="1"/>
      <c r="F276" s="1"/>
      <c r="G276" s="1"/>
    </row>
    <row r="277" spans="1:7" ht="15.75" customHeight="1" x14ac:dyDescent="0.35">
      <c r="A277" s="1"/>
      <c r="B277" s="1"/>
      <c r="C277" s="1"/>
      <c r="D277" s="1"/>
      <c r="E277" s="1"/>
      <c r="F277" s="1"/>
      <c r="G277" s="1"/>
    </row>
    <row r="278" spans="1:7" ht="15.75" customHeight="1" x14ac:dyDescent="0.35">
      <c r="A278" s="1"/>
      <c r="B278" s="1"/>
      <c r="C278" s="1"/>
      <c r="D278" s="1"/>
      <c r="E278" s="1"/>
      <c r="F278" s="1"/>
      <c r="G278" s="1"/>
    </row>
    <row r="279" spans="1:7" ht="15.75" customHeight="1" x14ac:dyDescent="0.35">
      <c r="A279" s="1"/>
      <c r="B279" s="1"/>
      <c r="C279" s="1"/>
      <c r="D279" s="1"/>
      <c r="E279" s="1"/>
      <c r="F279" s="1"/>
      <c r="G279" s="1"/>
    </row>
    <row r="280" spans="1:7" ht="15.75" customHeight="1" x14ac:dyDescent="0.35">
      <c r="A280" s="1"/>
      <c r="B280" s="1"/>
      <c r="C280" s="1"/>
      <c r="D280" s="1"/>
      <c r="E280" s="1"/>
      <c r="F280" s="1"/>
      <c r="G280" s="1"/>
    </row>
    <row r="281" spans="1:7" ht="15.75" customHeight="1" x14ac:dyDescent="0.35">
      <c r="A281" s="1"/>
      <c r="B281" s="1"/>
      <c r="C281" s="1"/>
      <c r="D281" s="1"/>
      <c r="E281" s="1"/>
      <c r="F281" s="1"/>
      <c r="G281" s="1"/>
    </row>
    <row r="282" spans="1:7" ht="15.75" customHeight="1" x14ac:dyDescent="0.35">
      <c r="A282" s="1"/>
      <c r="B282" s="1"/>
      <c r="C282" s="1"/>
      <c r="D282" s="1"/>
      <c r="E282" s="1"/>
      <c r="F282" s="1"/>
      <c r="G282" s="1"/>
    </row>
    <row r="283" spans="1:7" ht="15.75" customHeight="1" x14ac:dyDescent="0.35">
      <c r="A283" s="1"/>
      <c r="B283" s="1"/>
      <c r="C283" s="1"/>
      <c r="D283" s="1"/>
      <c r="E283" s="1"/>
      <c r="F283" s="1"/>
      <c r="G283" s="1"/>
    </row>
    <row r="284" spans="1:7" ht="15.75" customHeight="1" x14ac:dyDescent="0.35">
      <c r="A284" s="1"/>
      <c r="B284" s="1"/>
      <c r="C284" s="1"/>
      <c r="D284" s="1"/>
      <c r="E284" s="1"/>
      <c r="F284" s="1"/>
      <c r="G284" s="1"/>
    </row>
    <row r="285" spans="1:7" ht="15.75" customHeight="1" x14ac:dyDescent="0.35">
      <c r="A285" s="1"/>
      <c r="B285" s="1"/>
      <c r="C285" s="1"/>
      <c r="D285" s="1"/>
      <c r="E285" s="1"/>
      <c r="F285" s="1"/>
      <c r="G285" s="1"/>
    </row>
    <row r="286" spans="1:7" ht="15.75" customHeight="1" x14ac:dyDescent="0.35">
      <c r="A286" s="1"/>
      <c r="B286" s="1"/>
      <c r="C286" s="1"/>
      <c r="D286" s="1"/>
      <c r="E286" s="1"/>
      <c r="F286" s="1"/>
      <c r="G286" s="1"/>
    </row>
    <row r="287" spans="1:7" ht="15.75" customHeight="1" x14ac:dyDescent="0.35">
      <c r="A287" s="1"/>
      <c r="B287" s="1"/>
      <c r="C287" s="1"/>
      <c r="D287" s="1"/>
      <c r="E287" s="1"/>
      <c r="F287" s="1"/>
      <c r="G287" s="1"/>
    </row>
    <row r="288" spans="1:7" ht="15.75" customHeight="1" x14ac:dyDescent="0.35">
      <c r="A288" s="1"/>
      <c r="B288" s="1"/>
      <c r="C288" s="1"/>
      <c r="D288" s="1"/>
      <c r="E288" s="1"/>
      <c r="F288" s="1"/>
      <c r="G288" s="1"/>
    </row>
    <row r="289" spans="1:7" ht="15.75" customHeight="1" x14ac:dyDescent="0.35">
      <c r="A289" s="1"/>
      <c r="B289" s="1"/>
      <c r="C289" s="1"/>
      <c r="D289" s="1"/>
      <c r="E289" s="1"/>
      <c r="F289" s="1"/>
      <c r="G289" s="1"/>
    </row>
    <row r="290" spans="1:7" ht="15.75" customHeight="1" x14ac:dyDescent="0.35">
      <c r="A290" s="1"/>
      <c r="B290" s="1"/>
      <c r="C290" s="1"/>
      <c r="D290" s="1"/>
      <c r="E290" s="1"/>
      <c r="F290" s="1"/>
      <c r="G290" s="1"/>
    </row>
    <row r="291" spans="1:7" ht="15.75" customHeight="1" x14ac:dyDescent="0.35">
      <c r="A291" s="1"/>
      <c r="B291" s="1"/>
      <c r="C291" s="1"/>
      <c r="D291" s="1"/>
      <c r="E291" s="1"/>
      <c r="F291" s="1"/>
      <c r="G291" s="1"/>
    </row>
    <row r="292" spans="1:7" ht="15.75" customHeight="1" x14ac:dyDescent="0.35">
      <c r="A292" s="1"/>
      <c r="B292" s="1"/>
      <c r="C292" s="1"/>
      <c r="D292" s="1"/>
      <c r="E292" s="1"/>
      <c r="F292" s="1"/>
      <c r="G292" s="1"/>
    </row>
    <row r="293" spans="1:7" ht="15.75" customHeight="1" x14ac:dyDescent="0.35">
      <c r="A293" s="1"/>
      <c r="B293" s="1"/>
      <c r="C293" s="1"/>
      <c r="D293" s="1"/>
      <c r="E293" s="1"/>
      <c r="F293" s="1"/>
      <c r="G293" s="1"/>
    </row>
    <row r="294" spans="1:7" ht="15.75" customHeight="1" x14ac:dyDescent="0.35">
      <c r="A294" s="1"/>
      <c r="B294" s="1"/>
      <c r="C294" s="1"/>
      <c r="D294" s="1"/>
      <c r="E294" s="1"/>
      <c r="F294" s="1"/>
      <c r="G294" s="1"/>
    </row>
    <row r="295" spans="1:7" ht="15.75" customHeight="1" x14ac:dyDescent="0.35">
      <c r="A295" s="1"/>
      <c r="B295" s="1"/>
      <c r="C295" s="1"/>
      <c r="D295" s="1"/>
      <c r="E295" s="1"/>
      <c r="F295" s="1"/>
      <c r="G295" s="1"/>
    </row>
    <row r="296" spans="1:7" ht="15.75" customHeight="1" x14ac:dyDescent="0.35">
      <c r="A296" s="1"/>
      <c r="B296" s="1"/>
      <c r="C296" s="1"/>
      <c r="D296" s="1"/>
      <c r="E296" s="1"/>
      <c r="F296" s="1"/>
      <c r="G296" s="1"/>
    </row>
    <row r="297" spans="1:7" ht="15.75" customHeight="1" x14ac:dyDescent="0.35">
      <c r="A297" s="1"/>
      <c r="B297" s="1"/>
      <c r="C297" s="1"/>
      <c r="D297" s="1"/>
      <c r="E297" s="1"/>
      <c r="F297" s="1"/>
      <c r="G297" s="1"/>
    </row>
    <row r="298" spans="1:7" ht="15.75" customHeight="1" x14ac:dyDescent="0.35">
      <c r="A298" s="1"/>
      <c r="B298" s="1"/>
      <c r="C298" s="1"/>
      <c r="D298" s="1"/>
      <c r="E298" s="1"/>
      <c r="F298" s="1"/>
      <c r="G298" s="1"/>
    </row>
    <row r="299" spans="1:7" ht="15.75" customHeight="1" x14ac:dyDescent="0.35">
      <c r="A299" s="1"/>
      <c r="B299" s="1"/>
      <c r="C299" s="1"/>
      <c r="D299" s="1"/>
      <c r="E299" s="1"/>
      <c r="F299" s="1"/>
      <c r="G299" s="1"/>
    </row>
    <row r="300" spans="1:7" ht="15.75" customHeight="1" x14ac:dyDescent="0.35">
      <c r="A300" s="1"/>
      <c r="B300" s="1"/>
      <c r="C300" s="1"/>
      <c r="D300" s="1"/>
      <c r="E300" s="1"/>
      <c r="F300" s="1"/>
      <c r="G300" s="1"/>
    </row>
    <row r="301" spans="1:7" ht="15.75" customHeight="1" x14ac:dyDescent="0.35">
      <c r="A301" s="1"/>
      <c r="B301" s="1"/>
      <c r="C301" s="1"/>
      <c r="D301" s="1"/>
      <c r="E301" s="1"/>
      <c r="F301" s="1"/>
      <c r="G301" s="1"/>
    </row>
    <row r="302" spans="1:7" ht="15.75" customHeight="1" x14ac:dyDescent="0.35">
      <c r="A302" s="1"/>
      <c r="B302" s="1"/>
      <c r="C302" s="1"/>
      <c r="D302" s="1"/>
      <c r="E302" s="1"/>
      <c r="F302" s="1"/>
      <c r="G302" s="1"/>
    </row>
    <row r="303" spans="1:7" ht="15.75" customHeight="1" x14ac:dyDescent="0.35">
      <c r="A303" s="1"/>
      <c r="B303" s="1"/>
      <c r="C303" s="1"/>
      <c r="D303" s="1"/>
      <c r="E303" s="1"/>
      <c r="F303" s="1"/>
      <c r="G303" s="1"/>
    </row>
    <row r="304" spans="1:7" ht="15.75" customHeight="1" x14ac:dyDescent="0.35">
      <c r="A304" s="1"/>
      <c r="B304" s="1"/>
      <c r="C304" s="1"/>
      <c r="D304" s="1"/>
      <c r="E304" s="1"/>
      <c r="F304" s="1"/>
      <c r="G304" s="1"/>
    </row>
    <row r="305" spans="1:7" ht="15.75" customHeight="1" x14ac:dyDescent="0.35">
      <c r="A305" s="1"/>
      <c r="B305" s="1"/>
      <c r="C305" s="1"/>
      <c r="D305" s="1"/>
      <c r="E305" s="1"/>
      <c r="F305" s="1"/>
      <c r="G305" s="1"/>
    </row>
    <row r="306" spans="1:7" ht="15.75" customHeight="1" x14ac:dyDescent="0.35">
      <c r="A306" s="1"/>
      <c r="B306" s="1"/>
      <c r="C306" s="1"/>
      <c r="D306" s="1"/>
      <c r="E306" s="1"/>
      <c r="F306" s="1"/>
      <c r="G306" s="1"/>
    </row>
    <row r="307" spans="1:7" ht="15.75" customHeight="1" x14ac:dyDescent="0.35">
      <c r="A307" s="1"/>
      <c r="B307" s="1"/>
      <c r="C307" s="1"/>
      <c r="D307" s="1"/>
      <c r="E307" s="1"/>
      <c r="F307" s="1"/>
      <c r="G307" s="1"/>
    </row>
    <row r="308" spans="1:7" ht="15.75" customHeight="1" x14ac:dyDescent="0.35">
      <c r="A308" s="1"/>
      <c r="B308" s="1"/>
      <c r="C308" s="1"/>
      <c r="D308" s="1"/>
      <c r="E308" s="1"/>
      <c r="F308" s="1"/>
      <c r="G308" s="1"/>
    </row>
    <row r="309" spans="1:7" ht="15.75" customHeight="1" x14ac:dyDescent="0.35">
      <c r="A309" s="1"/>
      <c r="B309" s="1"/>
      <c r="C309" s="1"/>
      <c r="D309" s="1"/>
      <c r="E309" s="1"/>
      <c r="F309" s="1"/>
      <c r="G309" s="1"/>
    </row>
    <row r="310" spans="1:7" ht="15.75" customHeight="1" x14ac:dyDescent="0.35">
      <c r="A310" s="1"/>
      <c r="B310" s="1"/>
      <c r="C310" s="1"/>
      <c r="D310" s="1"/>
      <c r="E310" s="1"/>
      <c r="F310" s="1"/>
      <c r="G310" s="1"/>
    </row>
    <row r="311" spans="1:7" ht="15.75" customHeight="1" x14ac:dyDescent="0.35">
      <c r="A311" s="1"/>
      <c r="B311" s="1"/>
      <c r="C311" s="1"/>
      <c r="D311" s="1"/>
      <c r="E311" s="1"/>
      <c r="F311" s="1"/>
      <c r="G311" s="1"/>
    </row>
    <row r="312" spans="1:7" ht="15.75" customHeight="1" x14ac:dyDescent="0.35">
      <c r="A312" s="1"/>
      <c r="B312" s="1"/>
      <c r="C312" s="1"/>
      <c r="D312" s="1"/>
      <c r="E312" s="1"/>
      <c r="F312" s="1"/>
      <c r="G312" s="1"/>
    </row>
    <row r="313" spans="1:7" ht="15.75" customHeight="1" x14ac:dyDescent="0.35">
      <c r="A313" s="1"/>
      <c r="B313" s="1"/>
      <c r="C313" s="1"/>
      <c r="D313" s="1"/>
      <c r="E313" s="1"/>
      <c r="F313" s="1"/>
      <c r="G313" s="1"/>
    </row>
    <row r="314" spans="1:7" ht="15.75" customHeight="1" x14ac:dyDescent="0.35">
      <c r="A314" s="1"/>
      <c r="B314" s="1"/>
      <c r="C314" s="1"/>
      <c r="D314" s="1"/>
      <c r="E314" s="1"/>
      <c r="F314" s="1"/>
      <c r="G314" s="1"/>
    </row>
    <row r="315" spans="1:7" ht="15.75" customHeight="1" x14ac:dyDescent="0.35">
      <c r="A315" s="1"/>
      <c r="B315" s="1"/>
      <c r="C315" s="1"/>
      <c r="D315" s="1"/>
      <c r="E315" s="1"/>
      <c r="F315" s="1"/>
      <c r="G315" s="1"/>
    </row>
    <row r="316" spans="1:7" ht="15.75" customHeight="1" x14ac:dyDescent="0.35">
      <c r="A316" s="1"/>
      <c r="B316" s="1"/>
      <c r="C316" s="1"/>
      <c r="D316" s="1"/>
      <c r="E316" s="1"/>
      <c r="F316" s="1"/>
      <c r="G316" s="1"/>
    </row>
    <row r="317" spans="1:7" ht="15.75" customHeight="1" x14ac:dyDescent="0.35">
      <c r="A317" s="1"/>
      <c r="B317" s="1"/>
      <c r="C317" s="1"/>
      <c r="D317" s="1"/>
      <c r="E317" s="1"/>
      <c r="F317" s="1"/>
      <c r="G317" s="1"/>
    </row>
    <row r="318" spans="1:7" ht="15.75" customHeight="1" x14ac:dyDescent="0.35">
      <c r="A318" s="1"/>
      <c r="B318" s="1"/>
      <c r="C318" s="1"/>
      <c r="D318" s="1"/>
      <c r="E318" s="1"/>
      <c r="F318" s="1"/>
      <c r="G318" s="1"/>
    </row>
    <row r="319" spans="1:7" ht="15.75" customHeight="1" x14ac:dyDescent="0.35">
      <c r="A319" s="1"/>
      <c r="B319" s="1"/>
      <c r="C319" s="1"/>
      <c r="D319" s="1"/>
      <c r="E319" s="1"/>
      <c r="F319" s="1"/>
      <c r="G319" s="1"/>
    </row>
    <row r="320" spans="1:7" ht="15.75" customHeight="1" x14ac:dyDescent="0.35">
      <c r="A320" s="1"/>
      <c r="B320" s="1"/>
      <c r="C320" s="1"/>
      <c r="D320" s="1"/>
      <c r="E320" s="1"/>
      <c r="F320" s="1"/>
      <c r="G320" s="1"/>
    </row>
    <row r="321" spans="1:7" ht="15.75" customHeight="1" x14ac:dyDescent="0.35">
      <c r="A321" s="1"/>
      <c r="B321" s="1"/>
      <c r="C321" s="1"/>
      <c r="D321" s="1"/>
      <c r="E321" s="1"/>
      <c r="F321" s="1"/>
      <c r="G321" s="1"/>
    </row>
    <row r="322" spans="1:7" ht="15.75" customHeight="1" x14ac:dyDescent="0.35">
      <c r="A322" s="1"/>
      <c r="B322" s="1"/>
      <c r="C322" s="1"/>
      <c r="D322" s="1"/>
      <c r="E322" s="1"/>
      <c r="F322" s="1"/>
      <c r="G322" s="1"/>
    </row>
    <row r="323" spans="1:7" ht="15.75" customHeight="1" x14ac:dyDescent="0.35">
      <c r="A323" s="1"/>
      <c r="B323" s="1"/>
      <c r="C323" s="1"/>
      <c r="D323" s="1"/>
      <c r="E323" s="1"/>
      <c r="F323" s="1"/>
      <c r="G323" s="1"/>
    </row>
    <row r="324" spans="1:7" ht="15.75" customHeight="1" x14ac:dyDescent="0.35">
      <c r="A324" s="1"/>
      <c r="B324" s="1"/>
      <c r="C324" s="1"/>
      <c r="D324" s="1"/>
      <c r="E324" s="1"/>
      <c r="F324" s="1"/>
      <c r="G324" s="1"/>
    </row>
    <row r="325" spans="1:7" ht="15.75" customHeight="1" x14ac:dyDescent="0.35">
      <c r="A325" s="1"/>
      <c r="B325" s="1"/>
      <c r="C325" s="1"/>
      <c r="D325" s="1"/>
      <c r="E325" s="1"/>
      <c r="F325" s="1"/>
      <c r="G325" s="1"/>
    </row>
    <row r="326" spans="1:7" ht="15.75" customHeight="1" x14ac:dyDescent="0.35">
      <c r="A326" s="1"/>
      <c r="B326" s="1"/>
      <c r="C326" s="1"/>
      <c r="D326" s="1"/>
      <c r="E326" s="1"/>
      <c r="F326" s="1"/>
      <c r="G326" s="1"/>
    </row>
    <row r="327" spans="1:7" ht="15.75" customHeight="1" x14ac:dyDescent="0.35">
      <c r="A327" s="1"/>
      <c r="B327" s="1"/>
      <c r="C327" s="1"/>
      <c r="D327" s="1"/>
      <c r="E327" s="1"/>
      <c r="F327" s="1"/>
      <c r="G327" s="1"/>
    </row>
    <row r="328" spans="1:7" ht="15.75" customHeight="1" x14ac:dyDescent="0.35">
      <c r="A328" s="1"/>
      <c r="B328" s="1"/>
      <c r="C328" s="1"/>
      <c r="D328" s="1"/>
      <c r="E328" s="1"/>
      <c r="F328" s="1"/>
      <c r="G328" s="1"/>
    </row>
    <row r="329" spans="1:7" ht="15.75" customHeight="1" x14ac:dyDescent="0.35">
      <c r="A329" s="1"/>
      <c r="B329" s="1"/>
      <c r="C329" s="1"/>
      <c r="D329" s="1"/>
      <c r="E329" s="1"/>
      <c r="F329" s="1"/>
      <c r="G329" s="1"/>
    </row>
    <row r="330" spans="1:7" ht="15.75" customHeight="1" x14ac:dyDescent="0.35">
      <c r="A330" s="1"/>
      <c r="B330" s="1"/>
      <c r="C330" s="1"/>
      <c r="D330" s="1"/>
      <c r="E330" s="1"/>
      <c r="F330" s="1"/>
      <c r="G330" s="1"/>
    </row>
    <row r="331" spans="1:7" ht="15.75" customHeight="1" x14ac:dyDescent="0.35">
      <c r="A331" s="1"/>
      <c r="B331" s="1"/>
      <c r="C331" s="1"/>
      <c r="D331" s="1"/>
      <c r="E331" s="1"/>
      <c r="F331" s="1"/>
      <c r="G331" s="1"/>
    </row>
    <row r="332" spans="1:7" ht="15.75" customHeight="1" x14ac:dyDescent="0.35">
      <c r="A332" s="1"/>
      <c r="B332" s="1"/>
      <c r="C332" s="1"/>
      <c r="D332" s="1"/>
      <c r="E332" s="1"/>
      <c r="F332" s="1"/>
      <c r="G332" s="1"/>
    </row>
    <row r="333" spans="1:7" ht="15.75" customHeight="1" x14ac:dyDescent="0.35">
      <c r="A333" s="1"/>
      <c r="B333" s="1"/>
      <c r="C333" s="1"/>
      <c r="D333" s="1"/>
      <c r="E333" s="1"/>
      <c r="F333" s="1"/>
      <c r="G333" s="1"/>
    </row>
    <row r="334" spans="1:7" ht="15.75" customHeight="1" x14ac:dyDescent="0.35">
      <c r="A334" s="1"/>
      <c r="B334" s="1"/>
      <c r="C334" s="1"/>
      <c r="D334" s="1"/>
      <c r="E334" s="1"/>
      <c r="F334" s="1"/>
      <c r="G334" s="1"/>
    </row>
    <row r="335" spans="1:7" ht="15.75" customHeight="1" x14ac:dyDescent="0.35">
      <c r="A335" s="1"/>
      <c r="B335" s="1"/>
      <c r="C335" s="1"/>
      <c r="D335" s="1"/>
      <c r="E335" s="1"/>
      <c r="F335" s="1"/>
      <c r="G335" s="1"/>
    </row>
    <row r="336" spans="1:7" ht="15.75" customHeight="1" x14ac:dyDescent="0.35">
      <c r="A336" s="1"/>
      <c r="B336" s="1"/>
      <c r="C336" s="1"/>
      <c r="D336" s="1"/>
      <c r="E336" s="1"/>
      <c r="F336" s="1"/>
      <c r="G336" s="1"/>
    </row>
    <row r="337" spans="1:7" ht="15.75" customHeight="1" x14ac:dyDescent="0.35">
      <c r="A337" s="1"/>
      <c r="B337" s="1"/>
      <c r="C337" s="1"/>
      <c r="D337" s="1"/>
      <c r="E337" s="1"/>
      <c r="F337" s="1"/>
      <c r="G337" s="1"/>
    </row>
    <row r="338" spans="1:7" ht="15.75" customHeight="1" x14ac:dyDescent="0.35">
      <c r="A338" s="1"/>
      <c r="B338" s="1"/>
      <c r="C338" s="1"/>
      <c r="D338" s="1"/>
      <c r="E338" s="1"/>
      <c r="F338" s="1"/>
      <c r="G338" s="1"/>
    </row>
    <row r="339" spans="1:7" ht="15.75" customHeight="1" x14ac:dyDescent="0.35">
      <c r="A339" s="1"/>
      <c r="B339" s="1"/>
      <c r="C339" s="1"/>
      <c r="D339" s="1"/>
      <c r="E339" s="1"/>
      <c r="F339" s="1"/>
      <c r="G339" s="1"/>
    </row>
    <row r="340" spans="1:7" ht="15.75" customHeight="1" x14ac:dyDescent="0.35">
      <c r="A340" s="1"/>
      <c r="B340" s="1"/>
      <c r="C340" s="1"/>
      <c r="D340" s="1"/>
      <c r="E340" s="1"/>
      <c r="F340" s="1"/>
      <c r="G340" s="1"/>
    </row>
    <row r="341" spans="1:7" ht="15.75" customHeight="1" x14ac:dyDescent="0.35">
      <c r="A341" s="1"/>
      <c r="B341" s="1"/>
      <c r="C341" s="1"/>
      <c r="D341" s="1"/>
      <c r="E341" s="1"/>
      <c r="F341" s="1"/>
      <c r="G341" s="1"/>
    </row>
    <row r="342" spans="1:7" ht="15.75" customHeight="1" x14ac:dyDescent="0.35">
      <c r="A342" s="1"/>
      <c r="B342" s="1"/>
      <c r="C342" s="1"/>
      <c r="D342" s="1"/>
      <c r="E342" s="1"/>
      <c r="F342" s="1"/>
      <c r="G342" s="1"/>
    </row>
    <row r="343" spans="1:7" ht="15.75" customHeight="1" x14ac:dyDescent="0.35">
      <c r="A343" s="1"/>
      <c r="B343" s="1"/>
      <c r="C343" s="1"/>
      <c r="D343" s="1"/>
      <c r="E343" s="1"/>
      <c r="F343" s="1"/>
      <c r="G343" s="1"/>
    </row>
    <row r="344" spans="1:7" ht="15.75" customHeight="1" x14ac:dyDescent="0.35">
      <c r="A344" s="1"/>
      <c r="B344" s="1"/>
      <c r="C344" s="1"/>
      <c r="D344" s="1"/>
      <c r="E344" s="1"/>
      <c r="F344" s="1"/>
      <c r="G344" s="1"/>
    </row>
    <row r="345" spans="1:7" ht="15.75" customHeight="1" x14ac:dyDescent="0.35">
      <c r="A345" s="1"/>
      <c r="B345" s="1"/>
      <c r="C345" s="1"/>
      <c r="D345" s="1"/>
      <c r="E345" s="1"/>
      <c r="F345" s="1"/>
      <c r="G345" s="1"/>
    </row>
    <row r="346" spans="1:7" ht="15.75" customHeight="1" x14ac:dyDescent="0.35">
      <c r="A346" s="1"/>
      <c r="B346" s="1"/>
      <c r="C346" s="1"/>
      <c r="D346" s="1"/>
      <c r="E346" s="1"/>
      <c r="F346" s="1"/>
      <c r="G346" s="1"/>
    </row>
    <row r="347" spans="1:7" ht="15.75" customHeight="1" x14ac:dyDescent="0.35">
      <c r="A347" s="1"/>
      <c r="B347" s="1"/>
      <c r="C347" s="1"/>
      <c r="D347" s="1"/>
      <c r="E347" s="1"/>
      <c r="F347" s="1"/>
      <c r="G347" s="1"/>
    </row>
    <row r="348" spans="1:7" ht="15.75" customHeight="1" x14ac:dyDescent="0.35">
      <c r="A348" s="1"/>
      <c r="B348" s="1"/>
      <c r="C348" s="1"/>
      <c r="D348" s="1"/>
      <c r="E348" s="1"/>
      <c r="F348" s="1"/>
      <c r="G348" s="1"/>
    </row>
    <row r="349" spans="1:7" ht="15.75" customHeight="1" x14ac:dyDescent="0.35">
      <c r="A349" s="1"/>
      <c r="B349" s="1"/>
      <c r="C349" s="1"/>
      <c r="D349" s="1"/>
      <c r="E349" s="1"/>
      <c r="F349" s="1"/>
      <c r="G349" s="1"/>
    </row>
    <row r="350" spans="1:7" ht="15.75" customHeight="1" x14ac:dyDescent="0.35">
      <c r="A350" s="1"/>
      <c r="B350" s="1"/>
      <c r="C350" s="1"/>
      <c r="D350" s="1"/>
      <c r="E350" s="1"/>
      <c r="F350" s="1"/>
      <c r="G350" s="1"/>
    </row>
    <row r="351" spans="1:7" ht="15.75" customHeight="1" x14ac:dyDescent="0.35">
      <c r="A351" s="1"/>
      <c r="B351" s="1"/>
      <c r="C351" s="1"/>
      <c r="D351" s="1"/>
      <c r="E351" s="1"/>
      <c r="F351" s="1"/>
      <c r="G351" s="1"/>
    </row>
    <row r="352" spans="1:7" ht="15.75" customHeight="1" x14ac:dyDescent="0.35">
      <c r="A352" s="1"/>
      <c r="B352" s="1"/>
      <c r="C352" s="1"/>
      <c r="D352" s="1"/>
      <c r="E352" s="1"/>
      <c r="F352" s="1"/>
      <c r="G352" s="1"/>
    </row>
    <row r="353" spans="1:7" ht="15.75" customHeight="1" x14ac:dyDescent="0.35">
      <c r="A353" s="1"/>
      <c r="B353" s="1"/>
      <c r="C353" s="1"/>
      <c r="D353" s="1"/>
      <c r="E353" s="1"/>
      <c r="F353" s="1"/>
      <c r="G353" s="1"/>
    </row>
    <row r="354" spans="1:7" ht="15.75" customHeight="1" x14ac:dyDescent="0.35">
      <c r="A354" s="1"/>
      <c r="B354" s="1"/>
      <c r="C354" s="1"/>
      <c r="D354" s="1"/>
      <c r="E354" s="1"/>
      <c r="F354" s="1"/>
      <c r="G354" s="1"/>
    </row>
    <row r="355" spans="1:7" ht="15.75" customHeight="1" x14ac:dyDescent="0.35">
      <c r="A355" s="1"/>
      <c r="B355" s="1"/>
      <c r="C355" s="1"/>
      <c r="D355" s="1"/>
      <c r="E355" s="1"/>
      <c r="F355" s="1"/>
      <c r="G355" s="1"/>
    </row>
    <row r="356" spans="1:7" ht="15.75" customHeight="1" x14ac:dyDescent="0.35">
      <c r="A356" s="1"/>
      <c r="B356" s="1"/>
      <c r="C356" s="1"/>
      <c r="D356" s="1"/>
      <c r="E356" s="1"/>
      <c r="F356" s="1"/>
      <c r="G356" s="1"/>
    </row>
    <row r="357" spans="1:7" ht="15.75" customHeight="1" x14ac:dyDescent="0.35"/>
    <row r="358" spans="1:7" ht="15.75" customHeight="1" x14ac:dyDescent="0.35"/>
    <row r="359" spans="1:7" ht="15.75" customHeight="1" x14ac:dyDescent="0.35"/>
    <row r="360" spans="1:7" ht="15.75" customHeight="1" x14ac:dyDescent="0.35"/>
    <row r="361" spans="1:7" ht="15.75" customHeight="1" x14ac:dyDescent="0.35"/>
    <row r="362" spans="1:7" ht="15.75" customHeight="1" x14ac:dyDescent="0.35"/>
    <row r="363" spans="1:7" ht="15.75" customHeight="1" x14ac:dyDescent="0.35"/>
    <row r="364" spans="1:7" ht="15.75" customHeight="1" x14ac:dyDescent="0.35"/>
    <row r="365" spans="1:7" ht="15.75" customHeight="1" x14ac:dyDescent="0.35"/>
    <row r="366" spans="1:7" ht="15.75" customHeight="1" x14ac:dyDescent="0.35"/>
    <row r="367" spans="1:7" ht="15.75" customHeight="1" x14ac:dyDescent="0.35"/>
    <row r="368" spans="1:7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</sheetData>
  <mergeCells count="82">
    <mergeCell ref="A156:F156"/>
    <mergeCell ref="I156:N156"/>
    <mergeCell ref="A136:F136"/>
    <mergeCell ref="I136:N136"/>
    <mergeCell ref="A138:B138"/>
    <mergeCell ref="D138:E138"/>
    <mergeCell ref="A139:O139"/>
    <mergeCell ref="E141:E155"/>
    <mergeCell ref="F141:F155"/>
    <mergeCell ref="M141:M155"/>
    <mergeCell ref="N141:N155"/>
    <mergeCell ref="A116:F116"/>
    <mergeCell ref="I116:N116"/>
    <mergeCell ref="A118:B118"/>
    <mergeCell ref="D118:E118"/>
    <mergeCell ref="A119:O119"/>
    <mergeCell ref="E121:E135"/>
    <mergeCell ref="F121:F135"/>
    <mergeCell ref="M121:M135"/>
    <mergeCell ref="N121:N135"/>
    <mergeCell ref="A96:F96"/>
    <mergeCell ref="I96:N96"/>
    <mergeCell ref="A98:B98"/>
    <mergeCell ref="D98:E98"/>
    <mergeCell ref="A99:O99"/>
    <mergeCell ref="E101:E115"/>
    <mergeCell ref="F101:F115"/>
    <mergeCell ref="M101:M115"/>
    <mergeCell ref="N101:N115"/>
    <mergeCell ref="A76:F76"/>
    <mergeCell ref="I76:N76"/>
    <mergeCell ref="A78:B78"/>
    <mergeCell ref="D78:E78"/>
    <mergeCell ref="A79:O79"/>
    <mergeCell ref="E81:E95"/>
    <mergeCell ref="F81:F95"/>
    <mergeCell ref="M81:M95"/>
    <mergeCell ref="N81:N95"/>
    <mergeCell ref="A56:F56"/>
    <mergeCell ref="I56:N56"/>
    <mergeCell ref="A58:B58"/>
    <mergeCell ref="D58:E58"/>
    <mergeCell ref="A59:O59"/>
    <mergeCell ref="E61:E75"/>
    <mergeCell ref="F61:F75"/>
    <mergeCell ref="M61:M75"/>
    <mergeCell ref="N61:N75"/>
    <mergeCell ref="A38:B38"/>
    <mergeCell ref="D38:E38"/>
    <mergeCell ref="A39:O39"/>
    <mergeCell ref="E41:E55"/>
    <mergeCell ref="F41:F55"/>
    <mergeCell ref="M41:M55"/>
    <mergeCell ref="N41:N55"/>
    <mergeCell ref="E25:E34"/>
    <mergeCell ref="F25:F34"/>
    <mergeCell ref="M25:M34"/>
    <mergeCell ref="N25:N34"/>
    <mergeCell ref="A35:F35"/>
    <mergeCell ref="I35:N35"/>
    <mergeCell ref="Q19:R19"/>
    <mergeCell ref="A20:F20"/>
    <mergeCell ref="I20:N20"/>
    <mergeCell ref="A22:B22"/>
    <mergeCell ref="D22:E22"/>
    <mergeCell ref="A23:O23"/>
    <mergeCell ref="Q11:R11"/>
    <mergeCell ref="Q12:R12"/>
    <mergeCell ref="Q13:Q14"/>
    <mergeCell ref="Q16:V16"/>
    <mergeCell ref="Q17:R17"/>
    <mergeCell ref="Q18:R18"/>
    <mergeCell ref="A7:B7"/>
    <mergeCell ref="D7:E7"/>
    <mergeCell ref="A8:O8"/>
    <mergeCell ref="Q8:V8"/>
    <mergeCell ref="Q9:V9"/>
    <mergeCell ref="E10:E19"/>
    <mergeCell ref="F10:F19"/>
    <mergeCell ref="M10:M19"/>
    <mergeCell ref="N10:N19"/>
    <mergeCell ref="Q10:R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2023-03-14T04:55:48Z</dcterms:created>
  <dcterms:modified xsi:type="dcterms:W3CDTF">2023-03-14T05:10:53Z</dcterms:modified>
</cp:coreProperties>
</file>